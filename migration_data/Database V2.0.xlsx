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kun" sheetId="1" r:id="rId4"/>
    <sheet state="visible" name="Database" sheetId="2" r:id="rId5"/>
    <sheet state="visible" name="TempPendaftar" sheetId="3" r:id="rId6"/>
    <sheet state="visible" name="Agenda" sheetId="4" r:id="rId7"/>
    <sheet state="visible" name="DataPartisipan" sheetId="5" r:id="rId8"/>
    <sheet state="visible" name="Login Log" sheetId="6" r:id="rId9"/>
    <sheet state="visible" name="Ref" sheetId="7" r:id="rId10"/>
    <sheet state="visible" name="Config" sheetId="8" r:id="rId11"/>
    <sheet state="visible" name="Log_Pengiriman" sheetId="9" r:id="rId12"/>
    <sheet state="visible" name="Experiment" sheetId="10" r:id="rId13"/>
  </sheets>
  <definedNames>
    <definedName hidden="1" localSheetId="9" name="_xlnm._FilterDatabase">Experiment!$AA$1:$AA$999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7">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38">
      <text>
        <t xml:space="preserve">Responder updated this value.</t>
      </text>
    </comment>
    <comment authorId="0" ref="D492">
      <text>
        <t xml:space="preserve">Responder updated this value.</t>
      </text>
    </comment>
    <comment authorId="0" ref="D663">
      <text>
        <t xml:space="preserve">Responder updated this value.</t>
      </text>
    </comment>
    <comment authorId="0" ref="A909">
      <text>
        <t xml:space="preserve">Responder updated this value.</t>
      </text>
    </comment>
    <comment authorId="0" ref="D909">
      <text>
        <t xml:space="preserve">Responder updated this value.</t>
      </text>
    </comment>
  </commentList>
</comments>
</file>

<file path=xl/sharedStrings.xml><?xml version="1.0" encoding="utf-8"?>
<sst xmlns="http://schemas.openxmlformats.org/spreadsheetml/2006/main" count="17203" uniqueCount="5092">
  <si>
    <t>ID Anggota</t>
  </si>
  <si>
    <t>Email</t>
  </si>
  <si>
    <t>PIN</t>
  </si>
  <si>
    <t>Status PIN</t>
  </si>
  <si>
    <t>Role</t>
  </si>
  <si>
    <t>Status Akun</t>
  </si>
  <si>
    <t>DBP00000000</t>
  </si>
  <si>
    <t>halo.ikadbp@gmail.com</t>
  </si>
  <si>
    <t>Default</t>
  </si>
  <si>
    <t>Anggota</t>
  </si>
  <si>
    <t>Aktif</t>
  </si>
  <si>
    <t>Changed</t>
  </si>
  <si>
    <t>User123456</t>
  </si>
  <si>
    <t>DBP02000980</t>
  </si>
  <si>
    <t>galihakbarisra@gmail.com</t>
  </si>
  <si>
    <t>DBP02000918</t>
  </si>
  <si>
    <t>Nama Lengkap</t>
  </si>
  <si>
    <t>Jenis Kelamin</t>
  </si>
  <si>
    <t>Tempat Lahir</t>
  </si>
  <si>
    <t>Tanggal Lahir</t>
  </si>
  <si>
    <t>Nomor Whatsapp</t>
  </si>
  <si>
    <t>Angkatan</t>
  </si>
  <si>
    <t>Pendidikan</t>
  </si>
  <si>
    <t>Universitas</t>
  </si>
  <si>
    <t>Fakultas</t>
  </si>
  <si>
    <t>Jurusan</t>
  </si>
  <si>
    <t>Negara Domisili</t>
  </si>
  <si>
    <t>Provinsi Domisili</t>
  </si>
  <si>
    <t>Kota Domisili</t>
  </si>
  <si>
    <t>Foto</t>
  </si>
  <si>
    <t>LinkedIn</t>
  </si>
  <si>
    <t>Sektor Industri</t>
  </si>
  <si>
    <t>Jenis Pekerjaan</t>
  </si>
  <si>
    <t>Jabatan</t>
  </si>
  <si>
    <t>Nama Instansi</t>
  </si>
  <si>
    <t>Hobi</t>
  </si>
  <si>
    <t>Minat</t>
  </si>
  <si>
    <t>Komunitas Lain</t>
  </si>
  <si>
    <t>Memiliki Usaha</t>
  </si>
  <si>
    <t>Nama Usaha</t>
  </si>
  <si>
    <t>Deskripsi Usaha</t>
  </si>
  <si>
    <t>Bidang Usaha</t>
  </si>
  <si>
    <t>Jabatan dalam Usaha</t>
  </si>
  <si>
    <t>Lokasi Usaha</t>
  </si>
  <si>
    <t>Persetujuan Data</t>
  </si>
  <si>
    <t>HALO IKADBP</t>
  </si>
  <si>
    <t>1234567890</t>
  </si>
  <si>
    <t>,</t>
  </si>
  <si>
    <t>https://drive.google.com/file/d/1N9Bc4A9fu-dGoJXVf5LIR2gqW5eR1E_v/view?usp=drivesdk</t>
  </si>
  <si>
    <t>aa</t>
  </si>
  <si>
    <t>TIDAK</t>
  </si>
  <si>
    <t>DBP01000001</t>
  </si>
  <si>
    <t xml:space="preserve">AKBAR HIDAYATULLAH </t>
  </si>
  <si>
    <t>LAKI-LAKI</t>
  </si>
  <si>
    <t/>
  </si>
  <si>
    <t>akbar.lawyer85@gmail.com</t>
  </si>
  <si>
    <t>21 (2005/2006)</t>
  </si>
  <si>
    <t>S1</t>
  </si>
  <si>
    <t>UNIVERSITAS TANJUNGPURA</t>
  </si>
  <si>
    <t>HUKUM</t>
  </si>
  <si>
    <t>ILMU HUKUM</t>
  </si>
  <si>
    <t>INDONESIA</t>
  </si>
  <si>
    <t>DKI JAKARTA,</t>
  </si>
  <si>
    <t>JAKARTA UTARA</t>
  </si>
  <si>
    <t>https://drive.google.com/open?id=1dZLLXnEqh1bvBprkkDfByp6VTdqn0zRG</t>
  </si>
  <si>
    <t>https://www.linkedin.com/in/akbar-hidayatullah-926307a0?utm_source=share&amp;utm_campaign=share_via&amp;utm_content=profile&amp;utm_medium=android_app</t>
  </si>
  <si>
    <t>HUKUM / LEGAL</t>
  </si>
  <si>
    <t>KURATOR</t>
  </si>
  <si>
    <t>YA</t>
  </si>
  <si>
    <t>HUKUM / JASA HUKUM</t>
  </si>
  <si>
    <t>DBP01000002</t>
  </si>
  <si>
    <t>ANGGI VALENTINATA GOENADI</t>
  </si>
  <si>
    <t>avgoenadi@gmail.com</t>
  </si>
  <si>
    <t>https://drive.google.com/open?id=18YkV4XqMuh3BHoCdIGzb0pWVeVE9wMGl</t>
  </si>
  <si>
    <t>DBP01000003</t>
  </si>
  <si>
    <t>GEMA KUSUMAPUTRI</t>
  </si>
  <si>
    <t>PEREMPUAN</t>
  </si>
  <si>
    <t>gema.kusumaputri@gmail.com</t>
  </si>
  <si>
    <t>https://drive.google.com/open?id=1owUHoELFCvxo6tpP0WKM2G6U9ON9ywES</t>
  </si>
  <si>
    <t>DBP01000004</t>
  </si>
  <si>
    <t>PUTU AGNIA</t>
  </si>
  <si>
    <t>putuagnia@gmail.com</t>
  </si>
  <si>
    <t>https://drive.google.com/open?id=1SyqgjYPKGOI33_ntdaxfSIL9YZUqqUUV</t>
  </si>
  <si>
    <t>DBP01000005</t>
  </si>
  <si>
    <t>DANTE DARMAWANGSA</t>
  </si>
  <si>
    <t>dante.darmawangsa@upi.edu</t>
  </si>
  <si>
    <t>DBP01000006</t>
  </si>
  <si>
    <t>RATRI MUSTIKANING HANDOKO</t>
  </si>
  <si>
    <t>ratri.mustikaning.h@gmail.com</t>
  </si>
  <si>
    <t>https://drive.google.com/open?id=1UnoMc0RoeaTRuOzdL9TjzO-BMJgEHexF</t>
  </si>
  <si>
    <t>DBP01000007</t>
  </si>
  <si>
    <t>PUTI KEMALA TANJUNG</t>
  </si>
  <si>
    <t>puti.kemala.tanjung@gmail.com</t>
  </si>
  <si>
    <t>DBP01000008</t>
  </si>
  <si>
    <t>RORO AJENG SEKAR ARUM</t>
  </si>
  <si>
    <t>roroajengtaufik@gmail.com</t>
  </si>
  <si>
    <t>https://drive.google.com/open?id=1jyXayGvxEtA0vKip7ooJbDRBfZcSj9CE</t>
  </si>
  <si>
    <t>DBP01000009</t>
  </si>
  <si>
    <t>WAWAY QODRATULLOH S</t>
  </si>
  <si>
    <t>wayqodratulloh@gmail.com</t>
  </si>
  <si>
    <t>https://drive.google.com/open?id=1C2c3r1oBScuK8dK0AIsCP-Iyy1f5PGlO</t>
  </si>
  <si>
    <t>DBP01000010</t>
  </si>
  <si>
    <t>GALIH PURWO HANDOKO</t>
  </si>
  <si>
    <t>gp.handoko15@gmail.com</t>
  </si>
  <si>
    <t>https://drive.google.com/open?id=1AY4BtwQrHuDoyUH7iE1e3rQj_xCUj9hj</t>
  </si>
  <si>
    <t>DBP01000011</t>
  </si>
  <si>
    <t>DODDY FIRMAN RAHMADI</t>
  </si>
  <si>
    <t>doddyfirman@yahoo.com</t>
  </si>
  <si>
    <t>https://drive.google.com/open?id=12qS9yRfEvTGnMBciqxtMn5ztACQ0uWpU</t>
  </si>
  <si>
    <t>DBP01000012</t>
  </si>
  <si>
    <t>HAWIT GURITNO</t>
  </si>
  <si>
    <t>hawitguritno@gmail.com</t>
  </si>
  <si>
    <t>https://drive.google.com/open?id=1WLCrou2ykBlWIpVVKZ0chh9px9s6EYFC</t>
  </si>
  <si>
    <t>DBP01000013</t>
  </si>
  <si>
    <t>MALA EKAYANTI</t>
  </si>
  <si>
    <t>malaekayanti@gmail.com</t>
  </si>
  <si>
    <t>https://drive.google.com/open?id=1_B8Szrryj4v2gosmG81cqsVjW95vEFyM</t>
  </si>
  <si>
    <t>DBP01000014</t>
  </si>
  <si>
    <t xml:space="preserve">RIZKI ARIS YUNIANTO </t>
  </si>
  <si>
    <t>MOJOKERTO</t>
  </si>
  <si>
    <t>6285646452425</t>
  </si>
  <si>
    <t>rizkiarisy@gmail.com</t>
  </si>
  <si>
    <t>https://drive.google.com/file/d/1-s30EMjp_mlzrDWAzVug1IW32CamjLGZ/view?usp=drivesdk</t>
  </si>
  <si>
    <t>DBP01000015</t>
  </si>
  <si>
    <t>FAZIA FEBRIANY</t>
  </si>
  <si>
    <t>fazia.febriany@gmail.com</t>
  </si>
  <si>
    <t>https://drive.google.com/open?id=1sWuKnUEnUtClk3zP06OYMsfSf34PV6Z9</t>
  </si>
  <si>
    <t>DBP01000016</t>
  </si>
  <si>
    <t>JIILAN RANA WIJAYA</t>
  </si>
  <si>
    <t>wijayajilan@gmail.com</t>
  </si>
  <si>
    <t>https://drive.google.com/open?id=16DNpFTZVMsuzW4mJdpZcXkNDRPEw81QV</t>
  </si>
  <si>
    <t>DBP01000017</t>
  </si>
  <si>
    <t>NUR ROHMAN AZIS</t>
  </si>
  <si>
    <t>nurrohmanazis1992@gmail.com</t>
  </si>
  <si>
    <t>https://drive.google.com/open?id=18s-qjy_Z49fkw7qPNTGcsw7ZyewHF5dK</t>
  </si>
  <si>
    <t>DBP01000018</t>
  </si>
  <si>
    <t>DEDY HERIANSYAH</t>
  </si>
  <si>
    <t>https://drive.google.com/open?id=1n5DJkjSBeOJIocVncNJoZDTqvsA4_yne</t>
  </si>
  <si>
    <t>DBP01000019</t>
  </si>
  <si>
    <t>NICHO ADHI PUTRA TARIGAN</t>
  </si>
  <si>
    <t>nicho.tarigan@gmail.com</t>
  </si>
  <si>
    <t>https://drive.google.com/open?id=1UIexVBPr4seYDJh4dzSeECNwuBe1HZ3X</t>
  </si>
  <si>
    <t>DBP01000020</t>
  </si>
  <si>
    <t>OGY FABRIO MANDALA</t>
  </si>
  <si>
    <t>Ogyfabrio@gmail.com</t>
  </si>
  <si>
    <t>https://drive.google.com/open?id=19gnLGoIgRchUheLlYobOkbJW0UQkwIwQ</t>
  </si>
  <si>
    <t>DBP01000021</t>
  </si>
  <si>
    <t>SUHANDI</t>
  </si>
  <si>
    <t>suhandies@gmail.com</t>
  </si>
  <si>
    <t>https://drive.google.com/open?id=1c2WL_PljoOhZTOeycmfKAuflpd8_zxEt</t>
  </si>
  <si>
    <t>DBP01000022</t>
  </si>
  <si>
    <t>ATHA FITRAH RIYADHI</t>
  </si>
  <si>
    <t>riyadhi.atha@gmail.com</t>
  </si>
  <si>
    <t>https://drive.google.com/open?id=1IJbfMnb1IfBKtdOUXm8T5gKJZZZa-icm</t>
  </si>
  <si>
    <t>DBP01000023</t>
  </si>
  <si>
    <t>MARTHA NITA FLORENTINA S</t>
  </si>
  <si>
    <t>Marthanitaflorentinas@gmail.com</t>
  </si>
  <si>
    <t>https://drive.google.com/open?id=1BGvxMK--L8hYfZ8OnhWQQarfwA16HH0f</t>
  </si>
  <si>
    <t>DBP01000024</t>
  </si>
  <si>
    <t>FERDINAND HIDAYAT</t>
  </si>
  <si>
    <t>ferdinand.hiu@gmail.com</t>
  </si>
  <si>
    <t>https://drive.google.com/open?id=1c7YCvR6j6E1fH6c4RXKHpqk5AhGWylWi</t>
  </si>
  <si>
    <t>DBP01000025</t>
  </si>
  <si>
    <t xml:space="preserve">SARITA GILLYAN KARTIKASARI </t>
  </si>
  <si>
    <t>sagitas@xlfutureleaders.com</t>
  </si>
  <si>
    <t>https://drive.google.com/open?id=16jdWbfRCCjJDI5heJhc9oPvwhU9xN7vM</t>
  </si>
  <si>
    <t>DBP01000026</t>
  </si>
  <si>
    <t>RAHMANDHIKA FIRDAUZHA HARY HERNANDHA</t>
  </si>
  <si>
    <t>herozh94@gmail.com</t>
  </si>
  <si>
    <t>https://drive.google.com/open?id=1Iudu6kfE3lR_VoRE8ZPam_kTrC3Sl5Tq</t>
  </si>
  <si>
    <t>DBP01000027</t>
  </si>
  <si>
    <t>FAJAR HUDOYO</t>
  </si>
  <si>
    <t>Fjrhdy11@gmail.com</t>
  </si>
  <si>
    <t>https://drive.google.com/open?id=1RHjjAMcOMflzpwaucX1ttgcug_HNb5_z</t>
  </si>
  <si>
    <t>DBP01000028</t>
  </si>
  <si>
    <t xml:space="preserve">MOHAMMAD KHASAN </t>
  </si>
  <si>
    <t>khasanm86@gmail.com</t>
  </si>
  <si>
    <t>https://drive.google.com/open?id=1X-tEB_zvK7eOZLrbf3gYwu1UjJutcJAV</t>
  </si>
  <si>
    <t>DBP01000029</t>
  </si>
  <si>
    <t>ILHAM ARIFIN PAMBUDI</t>
  </si>
  <si>
    <t>ilham.pbd@gmail.com</t>
  </si>
  <si>
    <t>https://drive.google.com/open?id=1J35rD2hwuXLvuUd9odBiSMmtSDRHJvHZ</t>
  </si>
  <si>
    <t>DBP01000030</t>
  </si>
  <si>
    <t xml:space="preserve">FARIS SHAFI SULISTYA </t>
  </si>
  <si>
    <t>shafi.faris33@gmail.com</t>
  </si>
  <si>
    <t>https://drive.google.com/open?id=17TbrGNPS4PsdMFI9EYyZhLsDaQ9MX3zX</t>
  </si>
  <si>
    <t>DBP01000031</t>
  </si>
  <si>
    <t xml:space="preserve">HAPPY DYAH SIHANTI </t>
  </si>
  <si>
    <t>08113660999</t>
  </si>
  <si>
    <t xml:space="preserve">Hapinksihanti89@gmail.com </t>
  </si>
  <si>
    <t>25 (2009/2010)</t>
  </si>
  <si>
    <t>UNIVERSITAS MERDEKA MALANG</t>
  </si>
  <si>
    <t>PSIKOLOGI</t>
  </si>
  <si>
    <t>JAWA TIMUR,</t>
  </si>
  <si>
    <t xml:space="preserve">MALANG </t>
  </si>
  <si>
    <t>https://drive.google.com/file/d/1-FDdPQCnFAYOhJX2KqC6cYcUOxZwvzRD/view?usp=drivesdk</t>
  </si>
  <si>
    <t xml:space="preserve">Happy dyah sihanti </t>
  </si>
  <si>
    <t>KEUANGAN / PERBANKAN / ASURANSI</t>
  </si>
  <si>
    <t>MARKETING / SALES / PR</t>
  </si>
  <si>
    <t xml:space="preserve">PREMIER BANKING MANAGER </t>
  </si>
  <si>
    <t xml:space="preserve">PT BANK OCBC </t>
  </si>
  <si>
    <t xml:space="preserve">MENYANYI </t>
  </si>
  <si>
    <t>DBP01000032</t>
  </si>
  <si>
    <t>JANISATYA DIDO</t>
  </si>
  <si>
    <t>didopranata@gmail.com</t>
  </si>
  <si>
    <t>DBP01000033</t>
  </si>
  <si>
    <t>PUTU NUNIEK HUTNALEONTINA</t>
  </si>
  <si>
    <t>putununiek89@unhi.ac.id</t>
  </si>
  <si>
    <t>https://drive.google.com/open?id=19_oyIC75DRXnB5wCXBEXldXyeWoYJjy0</t>
  </si>
  <si>
    <t>DBP01000034</t>
  </si>
  <si>
    <t xml:space="preserve">NESER IKE CAHYANINGRUM </t>
  </si>
  <si>
    <t>neserike@gmail.com</t>
  </si>
  <si>
    <t>https://drive.google.com/open?id=1QaAUYJapy1sVfPL-A55D8blTBnLkZo8P</t>
  </si>
  <si>
    <t>DBP01000035</t>
  </si>
  <si>
    <t>YUDITH SANDRI RONDONUWU</t>
  </si>
  <si>
    <t>yudith.tm@gmail.com</t>
  </si>
  <si>
    <t>https://drive.google.com/open?id=1h8L2hMJfsjrLbya2H3a1Rb0QFZ22YI1u</t>
  </si>
  <si>
    <t>DBP01000036</t>
  </si>
  <si>
    <t>ZULQADRI SUAIB</t>
  </si>
  <si>
    <t>DBP01000037</t>
  </si>
  <si>
    <t xml:space="preserve">DEIDRA NATALIE TOMASOA </t>
  </si>
  <si>
    <t>deidranataliet@gmail.com</t>
  </si>
  <si>
    <t>https://drive.google.com/open?id=1jpOPghzMWRoumgKehyNWYB-ubikpvZCr</t>
  </si>
  <si>
    <t>DBP01000038</t>
  </si>
  <si>
    <t>GALIO RUDOLFO DIAN BURDAMES</t>
  </si>
  <si>
    <t>dianboer@gmail.com</t>
  </si>
  <si>
    <t>https://drive.google.com/open?id=190zi2YIW7GxUB5zmCopJnMZRkPWHEzNv</t>
  </si>
  <si>
    <t>DBP01000039</t>
  </si>
  <si>
    <t>SANTI PELITAWATI</t>
  </si>
  <si>
    <t>pelitawati1@gmail.com</t>
  </si>
  <si>
    <t>https://drive.google.com/open?id=1so__bqo6cVN9YuHKagCbntvQGMAJC70X</t>
  </si>
  <si>
    <t>DBP01000040</t>
  </si>
  <si>
    <t>RICO HALIM</t>
  </si>
  <si>
    <t>BANDA ACEH</t>
  </si>
  <si>
    <t>6282360853214</t>
  </si>
  <si>
    <t>ricohalim46@gmail.com</t>
  </si>
  <si>
    <t>36 (2020/2021)</t>
  </si>
  <si>
    <t>S2</t>
  </si>
  <si>
    <t>UNIVERSITAS SYIAH KUALA</t>
  </si>
  <si>
    <t>MATEMATIKA DAN ILMU PENGETAHUAN ALAM</t>
  </si>
  <si>
    <t>INFORMATIKA</t>
  </si>
  <si>
    <t>BANTEN,</t>
  </si>
  <si>
    <t>KOTA TANGERANG</t>
  </si>
  <si>
    <t>https://drive.google.com/file/d/1DbgpRZP_0uL4_YqzSZ8HBr-oUlu9r_6D/view?usp=drivesdk</t>
  </si>
  <si>
    <t>https://www.linkedin.com/in/ricohalim/</t>
  </si>
  <si>
    <t>PENDIDIKAN / AKADEMISI</t>
  </si>
  <si>
    <t>EDUKASI (DOSEN / GURU / PENELITI)</t>
  </si>
  <si>
    <t>DOSEN</t>
  </si>
  <si>
    <t>UNIVERSITAS BINA NUSANTARA</t>
  </si>
  <si>
    <t>MEMBACA, VIBE CODING</t>
  </si>
  <si>
    <t>CODING</t>
  </si>
  <si>
    <t>TIDAK ADA</t>
  </si>
  <si>
    <t>DBP01000041</t>
  </si>
  <si>
    <t>CITRA ASMARA</t>
  </si>
  <si>
    <t>citra.asmara.83@gmail.com</t>
  </si>
  <si>
    <t>DBP01000042</t>
  </si>
  <si>
    <t>CYNTHIA KIRANA PUTERI</t>
  </si>
  <si>
    <t>cynthiakp.ckp@gmail.com</t>
  </si>
  <si>
    <t>https://drive.google.com/open?id=1ITPzsfnnTJdlr0sxbCyBEXSXh6ec9aTT</t>
  </si>
  <si>
    <t>DBP01000043</t>
  </si>
  <si>
    <t>S. RIFAI</t>
  </si>
  <si>
    <t>solehrifai@gmail.com</t>
  </si>
  <si>
    <t>https://drive.google.com/open?id=11VPG7DiWYxLbmvXJtsyE8SS2HvJXyF9T</t>
  </si>
  <si>
    <t>DBP01000044</t>
  </si>
  <si>
    <t>IQBAL F ANSHARI</t>
  </si>
  <si>
    <t>081324985723</t>
  </si>
  <si>
    <t>iqbalfa5@gmail.com</t>
  </si>
  <si>
    <t>UNIVERSITAS PENDIDIKAN INDONESIA</t>
  </si>
  <si>
    <t>TEKNIK</t>
  </si>
  <si>
    <t>TEKNIK ELEKTRO</t>
  </si>
  <si>
    <t>JAWA BARAT,</t>
  </si>
  <si>
    <t>BANDUNG</t>
  </si>
  <si>
    <t>https://drive.google.com/file/d/1Nm4bQzuiOPDNeO15r_PjOYYYU2rHMJBX/view?usp=drivesdk</t>
  </si>
  <si>
    <t>Iqbal Fakhruzzaman Anshari</t>
  </si>
  <si>
    <t>PERIKANAN</t>
  </si>
  <si>
    <t>WIRASWASTA</t>
  </si>
  <si>
    <t>OWNER</t>
  </si>
  <si>
    <t>CV GOLDEN VANN</t>
  </si>
  <si>
    <t>GAME</t>
  </si>
  <si>
    <t>BISNIS</t>
  </si>
  <si>
    <t>PERDAGANGAN DAN DISTRIBUSI</t>
  </si>
  <si>
    <t>DBP01000045</t>
  </si>
  <si>
    <t>ANNISA LATUMAHINA</t>
  </si>
  <si>
    <t>nisalatu1995@gmail.com</t>
  </si>
  <si>
    <t>https://drive.google.com/open?id=162HEcaM0mOkJC1R9vC1g_1bnabLzDN3v</t>
  </si>
  <si>
    <t>DBP01000046</t>
  </si>
  <si>
    <t>DIKKY NUR FAIZAL</t>
  </si>
  <si>
    <t>faizaldikky@gmail.com</t>
  </si>
  <si>
    <t>https://drive.google.com/open?id=1p8kTKdDB88UJGUeb6t7U-mk2KDlalVaP</t>
  </si>
  <si>
    <t>DBP01000047</t>
  </si>
  <si>
    <t>VERONICA MONTEIRO DOSANTOS NENO</t>
  </si>
  <si>
    <t>089506401643</t>
  </si>
  <si>
    <t>veronicamdn9@gmail.com</t>
  </si>
  <si>
    <t>37 (2021/2022)</t>
  </si>
  <si>
    <t>UNIVERSITAS SEMARANG</t>
  </si>
  <si>
    <t xml:space="preserve">EKONOMI </t>
  </si>
  <si>
    <t>AKUNTANSI</t>
  </si>
  <si>
    <t>JAWA TENGAH,</t>
  </si>
  <si>
    <t>DEMAK</t>
  </si>
  <si>
    <t>https://drive.google.com/open?id=1wK3GUbC1oFMFiePIYUvrP71_tOhysYYN</t>
  </si>
  <si>
    <t>KONSTRUKSI / PROPERTI</t>
  </si>
  <si>
    <t>STAFF</t>
  </si>
  <si>
    <t>SUTINDO RAYA MULIA</t>
  </si>
  <si>
    <t>BERENANG</t>
  </si>
  <si>
    <t>DBP01000048</t>
  </si>
  <si>
    <t>RIKA RAHMAYUNI</t>
  </si>
  <si>
    <t>082284348404</t>
  </si>
  <si>
    <t>rikarahmayuni08@gmail.com</t>
  </si>
  <si>
    <t>33 (2017/2018)</t>
  </si>
  <si>
    <t>UNIVERSITAS ANDALAS</t>
  </si>
  <si>
    <t>EKONOMI</t>
  </si>
  <si>
    <t>MANAJEMEN</t>
  </si>
  <si>
    <t>JAKARTA PUSAT</t>
  </si>
  <si>
    <t>https://drive.google.com/file/d/1JkzY29Ay90JgdxlfxMWkfw4HVms3NktN/view?usp=drivesdk</t>
  </si>
  <si>
    <t>Rika Rahmayuni</t>
  </si>
  <si>
    <t>MEDIA / KREATIF / HIBURAN</t>
  </si>
  <si>
    <t>EVENT ORGANIZER</t>
  </si>
  <si>
    <t>TRAVELLING, MEMBACA</t>
  </si>
  <si>
    <t>DBP01000049</t>
  </si>
  <si>
    <t>ASTRA BETA LIECHARLIE</t>
  </si>
  <si>
    <t>DBP01000050</t>
  </si>
  <si>
    <t>PANDU SUKMA KISI SHESA</t>
  </si>
  <si>
    <t>pandusukmaks@gmail.com</t>
  </si>
  <si>
    <t>https://drive.google.com/open?id=173SSe0h-A0sJvma11uJqcYFO9GurwlKk</t>
  </si>
  <si>
    <t>DBP01000051</t>
  </si>
  <si>
    <t>YUKA PUTRI RENOSURI MANTI</t>
  </si>
  <si>
    <t>yukaprm29@gmail.com</t>
  </si>
  <si>
    <t>https://drive.google.com/open?id=1S_1UpxDwPUmyN25tP0iEMn3ObYaqi5be</t>
  </si>
  <si>
    <t>DBP01000052</t>
  </si>
  <si>
    <t>DUDIH SUTRISMAN</t>
  </si>
  <si>
    <t>dudih.sutrisman@yahoo.co.id</t>
  </si>
  <si>
    <t>https://drive.google.com/open?id=1yANSGMdPO91WKPf4UIi-SLtnNeeR6fxK</t>
  </si>
  <si>
    <t>DBP01000053</t>
  </si>
  <si>
    <t>EKO BAGUS CAHYO PURNOMO</t>
  </si>
  <si>
    <t>baguz87@gmail.com</t>
  </si>
  <si>
    <t>https://drive.google.com/open?id=1u2ig8Xma6-kcHxh-KMNR1DmRvWUC2hYz</t>
  </si>
  <si>
    <t>DBP01000054</t>
  </si>
  <si>
    <t>ANDRE SEPTIAN NOLZA</t>
  </si>
  <si>
    <t>andreseptian227@gmail.com</t>
  </si>
  <si>
    <t>https://drive.google.com/open?id=1HQ2UkfLrhSpXjcUr0FXpInmtamkOYJEr</t>
  </si>
  <si>
    <t>DBP01000055</t>
  </si>
  <si>
    <t>USWATUN CHASANAH</t>
  </si>
  <si>
    <t>uswachassanah@gmail.com</t>
  </si>
  <si>
    <t>DBP01000056</t>
  </si>
  <si>
    <t>BAYU RAHMAT AKBAR</t>
  </si>
  <si>
    <t>akbar.bayurahmat@gmail.com</t>
  </si>
  <si>
    <t>https://drive.google.com/open?id=1SGHdaRIhlykDnJ24bmaAz9W8vdFj8WrR</t>
  </si>
  <si>
    <t>DBP01000057</t>
  </si>
  <si>
    <t>FITRA ARRAHMA</t>
  </si>
  <si>
    <t>Fitraarrahma12@gmail.com</t>
  </si>
  <si>
    <t>https://drive.google.com/open?id=1rOlt7QGwcTH88eGsvwMtKQ8pM_oUSkGy</t>
  </si>
  <si>
    <t>DBP01000058</t>
  </si>
  <si>
    <t>NIDYA HENDRAWAN</t>
  </si>
  <si>
    <t>nidya.hendrawan.tjong@gmail.com</t>
  </si>
  <si>
    <t>https://drive.google.com/open?id=1Kpk2D388wW8_sG5MYahU2QaUWoP036Wm</t>
  </si>
  <si>
    <t>DBP01000059</t>
  </si>
  <si>
    <t>AMELIA AUGUSTIN YOLANDA</t>
  </si>
  <si>
    <t>ameliaaugustin00@gmail.com</t>
  </si>
  <si>
    <t>https://drive.google.com/open?id=1xitA0iIypFevs35I7yr1Zg_JE7kGhvPW</t>
  </si>
  <si>
    <t>DBP01000060</t>
  </si>
  <si>
    <t>FARID NOOR ROMADLON</t>
  </si>
  <si>
    <t>farid.noor@umk.ac.id</t>
  </si>
  <si>
    <t>https://drive.google.com/open?id=1YLsRqt8bcUmny_FZOatF-sIWAAksNcG6</t>
  </si>
  <si>
    <t>DBP01000061</t>
  </si>
  <si>
    <t xml:space="preserve">SATRIO HERLAMBANG ADI PANGESTU </t>
  </si>
  <si>
    <t>shapangestu@gmail.com</t>
  </si>
  <si>
    <t>https://drive.google.com/open?id=1hJAMFSdRnjJAZhGCdQCpqptZ-Xc2dKb3</t>
  </si>
  <si>
    <t>DBP01000062</t>
  </si>
  <si>
    <t>IKA REZVANI APRITA</t>
  </si>
  <si>
    <t>ikarezvaniaprita@gmail.com</t>
  </si>
  <si>
    <t>https://drive.google.com/open?id=1x-ySyy5MY80nW6z0tNanNOB5BGuz1UmQ</t>
  </si>
  <si>
    <t>DBP01000063</t>
  </si>
  <si>
    <t>M TAUFIK HIDAYAT</t>
  </si>
  <si>
    <t>MEDAN</t>
  </si>
  <si>
    <t>Ikrimahtaufikhidayat@gmail.com</t>
  </si>
  <si>
    <t>35 (2018/2019)</t>
  </si>
  <si>
    <t>https://drive.google.com/open?id=1TgfA5juiLBZHsSr2g-Bc-cb4yYxSPHLd</t>
  </si>
  <si>
    <t>DBP01000064</t>
  </si>
  <si>
    <t>RISYA SASRI</t>
  </si>
  <si>
    <t>Sasrisyapin@gmail.com</t>
  </si>
  <si>
    <t>https://drive.google.com/open?id=1fA-YfU58crqklSL36dHUN4IHSDNtewk7</t>
  </si>
  <si>
    <t>DBP01000065</t>
  </si>
  <si>
    <t>ACHMAD RIZAL FIRMANSYAH</t>
  </si>
  <si>
    <t>087825505313</t>
  </si>
  <si>
    <t>firmansyahrizal21@gmail.com</t>
  </si>
  <si>
    <t>UNIVERSITAS NEGERI SEMARANG</t>
  </si>
  <si>
    <t>TEKNIK MESIN</t>
  </si>
  <si>
    <t>TUBAN</t>
  </si>
  <si>
    <t>https://drive.google.com/open?id=1KaOaw-YSnlXdjMABydTKFlqL7PW0Q7Jh</t>
  </si>
  <si>
    <t>Achmad Rizal Firmansyah</t>
  </si>
  <si>
    <t>MANUFAKTUR / PABRIK</t>
  </si>
  <si>
    <t>ENGINEERING / TEKNIK (SIPIL, MESIN, ELEKTRO, DLL)</t>
  </si>
  <si>
    <t>SUPERITENDANT</t>
  </si>
  <si>
    <t>PT. SOLUSI BANGUN INDONESIA</t>
  </si>
  <si>
    <t>GAME, OLAHRAGA, FILM</t>
  </si>
  <si>
    <t>BISNIS DAN USAHA</t>
  </si>
  <si>
    <t>DBP01000066</t>
  </si>
  <si>
    <t xml:space="preserve">HENDI HIDAYAT </t>
  </si>
  <si>
    <t xml:space="preserve">hendi140383@gmail.com </t>
  </si>
  <si>
    <t>DBP01000067</t>
  </si>
  <si>
    <t>VIXKY TANUDJAJA</t>
  </si>
  <si>
    <t>vixkytanudjaja@gmail.com</t>
  </si>
  <si>
    <t>https://drive.google.com/open?id=1tkmappvtBWkJhmE9Q48g5oPB5X6ekZ4l</t>
  </si>
  <si>
    <t>DBP01000068</t>
  </si>
  <si>
    <t>ARIEF DUROCHMAN</t>
  </si>
  <si>
    <t>annabelle230413@gmail.com</t>
  </si>
  <si>
    <t>https://drive.google.com/open?id=1ouhanVc0W9q-YXUwFYv_Ay3wJojS5yiT</t>
  </si>
  <si>
    <t>DBP01000069</t>
  </si>
  <si>
    <t>DENI DWI RUSMAWAN</t>
  </si>
  <si>
    <t>denirusmawan826@gmail.com</t>
  </si>
  <si>
    <t>https://drive.google.com/open?id=1YIbNHOhkhQ1EC1TyZ9VE5KErzSCFDwDx</t>
  </si>
  <si>
    <t>DBP01000070</t>
  </si>
  <si>
    <t>SALSA A. KIRANA</t>
  </si>
  <si>
    <t>https://drive.google.com/open?id=10-SEAhS8zebjgrsv6u8sX3IIG_d_btiq</t>
  </si>
  <si>
    <t>DBP01000071</t>
  </si>
  <si>
    <t>EVA ANGELINE</t>
  </si>
  <si>
    <t>Elisabethevangeline31@gmail.com</t>
  </si>
  <si>
    <t>https://drive.google.com/open?id=10cY0VS7lNn9u-1kVdMyjZRt0oTxeRVZ7</t>
  </si>
  <si>
    <t>DBP01000072</t>
  </si>
  <si>
    <t xml:space="preserve">INTAN LUTVIANA WULANDARI </t>
  </si>
  <si>
    <t>intanlutviana39@gmail.com</t>
  </si>
  <si>
    <t>https://drive.google.com/open?id=1x_iDrk7eSedI0ksf4XqJzviCs0NbL-5A</t>
  </si>
  <si>
    <t>DBP01000073</t>
  </si>
  <si>
    <t>ANNISA TRIANA TALMERA</t>
  </si>
  <si>
    <t>annisatalmera@gmail.com</t>
  </si>
  <si>
    <t>https://drive.google.com/open?id=1IPsJ48_0s2pZHm1FmzD93ghevJPiZsrH</t>
  </si>
  <si>
    <t>DBP01000074</t>
  </si>
  <si>
    <t>GABY PANG LYLIEN</t>
  </si>
  <si>
    <t>gabypanglylien@gmail.com</t>
  </si>
  <si>
    <t>https://drive.google.com/open?id=1ess-d8GopMkvsZXwHP5vtd_WrTSWJhxw</t>
  </si>
  <si>
    <t>DBP01000075</t>
  </si>
  <si>
    <t>GREGORIUS GOKLAS SILABAN</t>
  </si>
  <si>
    <t>Putrasilaban691@gmail.com</t>
  </si>
  <si>
    <t>https://drive.google.com/open?id=1VfdBEC1LakgloNunnB85uXI24oIpgt4K</t>
  </si>
  <si>
    <t>DBP01000076</t>
  </si>
  <si>
    <t>SUPARMAN WAKIDI</t>
  </si>
  <si>
    <t>085399310430</t>
  </si>
  <si>
    <t>suparmanwakidi.s.ak@gmail.com</t>
  </si>
  <si>
    <t>34 (2018/2019)</t>
  </si>
  <si>
    <t xml:space="preserve">UNIVERSITAS TADULAKO </t>
  </si>
  <si>
    <t xml:space="preserve">EKONOMI DAN BISNIS </t>
  </si>
  <si>
    <t>JAKARTA BARAT</t>
  </si>
  <si>
    <t>https://drive.google.com/open?id=1yB4vIj9U7441LTBiv_qJ2OS_j79wX_CI</t>
  </si>
  <si>
    <t>Suparman Wakidi</t>
  </si>
  <si>
    <t>RETAIL</t>
  </si>
  <si>
    <t xml:space="preserve">SALES DEVELOPMENT EXECUTIVE </t>
  </si>
  <si>
    <t xml:space="preserve">SUPERVISOR </t>
  </si>
  <si>
    <t xml:space="preserve">PT. SUPRA BOGA LESTARI TBK </t>
  </si>
  <si>
    <t xml:space="preserve">BADMINTON </t>
  </si>
  <si>
    <t>DBP01000077</t>
  </si>
  <si>
    <t>RUDY DWI PRASETYO</t>
  </si>
  <si>
    <t>dwipras88@gmail.com</t>
  </si>
  <si>
    <t>https://drive.google.com/open?id=1nAYgExEZSOZxZr2waObXHZ8njpQC2Zry</t>
  </si>
  <si>
    <t>DBP01000078</t>
  </si>
  <si>
    <t>DENILSON</t>
  </si>
  <si>
    <t>089676176088</t>
  </si>
  <si>
    <t>budidennn@gmail.com</t>
  </si>
  <si>
    <t>EKONOMI DAN BISNIS</t>
  </si>
  <si>
    <t xml:space="preserve">EKONOMI PEMBANGUNAN </t>
  </si>
  <si>
    <t>KALIMANTAN BARAT,</t>
  </si>
  <si>
    <t xml:space="preserve">PONTIANAK </t>
  </si>
  <si>
    <t>https://drive.google.com/open?id=1-vncNTgnQBU3eU48FCENxGZubP82l_gF</t>
  </si>
  <si>
    <t>PERTANIAN / PERKEBUNAN</t>
  </si>
  <si>
    <t>LOGISTIK / SUPPLY CHAIN / OPERASIONAL</t>
  </si>
  <si>
    <t>FFB PURCHASE</t>
  </si>
  <si>
    <t xml:space="preserve">PT PALMA LESTARI PUTRA BORNEO </t>
  </si>
  <si>
    <t>DBP01000079</t>
  </si>
  <si>
    <t>MUHAMMAD RIFQI RIZQULLAH</t>
  </si>
  <si>
    <t>rizqullahrifqi22@gmail.com</t>
  </si>
  <si>
    <t>https://drive.google.com/open?id=1iT0NfaLZJ3ywQt0gviWIJ4t-gfha00zj</t>
  </si>
  <si>
    <t>DBP02000080</t>
  </si>
  <si>
    <t xml:space="preserve">MUHAMMAD ADIB ARDIANTO </t>
  </si>
  <si>
    <t>KUDUS</t>
  </si>
  <si>
    <t>adibardianto21@gmail.com</t>
  </si>
  <si>
    <t>38 (2022/2023)</t>
  </si>
  <si>
    <t>UNIVERSITAS MURIA KUDUS</t>
  </si>
  <si>
    <t>https://drive.google.com/open?id=1ssB311OS-PYbfuQbdFIrTBT50WHfWOkE</t>
  </si>
  <si>
    <t>DBP02000081</t>
  </si>
  <si>
    <t>EDWIN BUDI SETIAWAN</t>
  </si>
  <si>
    <t>TEGAL</t>
  </si>
  <si>
    <t>edwin.setiawan26@gmail.com</t>
  </si>
  <si>
    <t>32 (2016/2017)</t>
  </si>
  <si>
    <t>UNIVERSITAS NEGERI SEBELAS MARET</t>
  </si>
  <si>
    <t>Jawa Barat</t>
  </si>
  <si>
    <t>Kota Bogor</t>
  </si>
  <si>
    <t>https://drive.google.com/open?id=1i4PIby1GV6vyWPTaAABerxcqmqdi9SgZ</t>
  </si>
  <si>
    <t>https://www.linkedin.com/in/edwin-budi-setiawan?utm_source=share&amp;utm_campaign=share_via&amp;utm_content=profile&amp;utm_medium=ios_app</t>
  </si>
  <si>
    <t>Pegawai Swasta</t>
  </si>
  <si>
    <t>R&amp;D Associate</t>
  </si>
  <si>
    <t>PT. Nutrifood</t>
  </si>
  <si>
    <t>Mendengarkan musik, Menonton film dan acara televisi, Berolahraga (seperti lari, bersepeda, yoga, dan lainnya)</t>
  </si>
  <si>
    <t>Kebugaran dan kesehatan, Petualangan dan eksplorasi alam, Teknologi dan inovasi, Musik (mendengarkan, memainkan instrumen, produksi musik), Pembelajaran bahasa asing</t>
  </si>
  <si>
    <t>-</t>
  </si>
  <si>
    <t>Tidak</t>
  </si>
  <si>
    <t>Ya</t>
  </si>
  <si>
    <t>DBP02000082</t>
  </si>
  <si>
    <t>WINDAHAYATI</t>
  </si>
  <si>
    <t>BOGOR</t>
  </si>
  <si>
    <t>ndawindahayati@gmail.com</t>
  </si>
  <si>
    <t>27 (2011/2012)</t>
  </si>
  <si>
    <t>Matematika dan Ilmu Pengetahun Alam</t>
  </si>
  <si>
    <t>Biologi</t>
  </si>
  <si>
    <t>DBP02000083</t>
  </si>
  <si>
    <t>IKA DWIYULITA</t>
  </si>
  <si>
    <t>UJUNG PANDANG</t>
  </si>
  <si>
    <t>ikadwiyulita@gmail.com</t>
  </si>
  <si>
    <t>LAINNYA</t>
  </si>
  <si>
    <t>DBP02000084</t>
  </si>
  <si>
    <t>EKO SUHADINATA</t>
  </si>
  <si>
    <t>PAGAR ALAM</t>
  </si>
  <si>
    <t>ekosuhadinata4312@gmail.com</t>
  </si>
  <si>
    <t>UNIVERSITAS ISLAM NEGERI SUNAN KALIJAGA</t>
  </si>
  <si>
    <t>DBP02000085</t>
  </si>
  <si>
    <t>ARIS PUTRA WIBOWO</t>
  </si>
  <si>
    <t>PACITAN</t>
  </si>
  <si>
    <t>wibowoaris297@gmail.com</t>
  </si>
  <si>
    <t>35 (2019/2020)</t>
  </si>
  <si>
    <t>UNIVERSITAS DIPONEGORO</t>
  </si>
  <si>
    <t>DBP02000086</t>
  </si>
  <si>
    <t xml:space="preserve">R. MUHAMMAD SYAEPUL MUZIEB MULYANA </t>
  </si>
  <si>
    <t>CIANJUR</t>
  </si>
  <si>
    <t>muziebmulyana@gmail.com</t>
  </si>
  <si>
    <t>UNIVERSITAS JENDERAL ACHMAD YANI</t>
  </si>
  <si>
    <t>Ilmu Sosial dan Ilmu Politik</t>
  </si>
  <si>
    <t>Hubungan Internasional</t>
  </si>
  <si>
    <t>DBP02000087</t>
  </si>
  <si>
    <t>MANULLANG, SABAM</t>
  </si>
  <si>
    <t>SAMARINDA</t>
  </si>
  <si>
    <t>sabamm31@gmail.com</t>
  </si>
  <si>
    <t>Teknik</t>
  </si>
  <si>
    <t>Teknik Industri</t>
  </si>
  <si>
    <t>DBP02000088</t>
  </si>
  <si>
    <t>DELIANA</t>
  </si>
  <si>
    <t>PONTIANAK</t>
  </si>
  <si>
    <t>delidelmonte@gmail.com</t>
  </si>
  <si>
    <t>DBP02000089</t>
  </si>
  <si>
    <t>ALIFYAA RAHMANITA</t>
  </si>
  <si>
    <t>JAKARTA</t>
  </si>
  <si>
    <t>alifyaarahmanita@gmail.com</t>
  </si>
  <si>
    <t>Ekonomi</t>
  </si>
  <si>
    <t>Manajemen</t>
  </si>
  <si>
    <t>DBP02000090</t>
  </si>
  <si>
    <t>HANAA FAKHRANI</t>
  </si>
  <si>
    <t>hanafakhrani.hf@gmail.com</t>
  </si>
  <si>
    <t>39 (2023/2024)</t>
  </si>
  <si>
    <t>INSTITUT KESENIAN JAKARTA</t>
  </si>
  <si>
    <t>Seni Rupa dan Desain</t>
  </si>
  <si>
    <t>Desain Interior</t>
  </si>
  <si>
    <t>DBP02000091</t>
  </si>
  <si>
    <t>SAKINAH SALMA ZAHIRAH</t>
  </si>
  <si>
    <t>sakinahsalma.zhrh@gmail.com</t>
  </si>
  <si>
    <t>DBP02000092</t>
  </si>
  <si>
    <t>BAIQ ASTRID AMALYA NUANSHARI</t>
  </si>
  <si>
    <t>LOMBOK</t>
  </si>
  <si>
    <t>astridamalya@gmail.com</t>
  </si>
  <si>
    <t>UNIVERSITAS TRUNOJOYO</t>
  </si>
  <si>
    <t>Pertanian</t>
  </si>
  <si>
    <t xml:space="preserve">Ilmu Kelautan </t>
  </si>
  <si>
    <t>DBP02000093</t>
  </si>
  <si>
    <t>ADHA ZUAN MUZAQI HAMID</t>
  </si>
  <si>
    <t>KEDIRI</t>
  </si>
  <si>
    <t>adhazuanm@gmail.com</t>
  </si>
  <si>
    <t>D4</t>
  </si>
  <si>
    <t>POLITEKNIK NEGERI MALANG</t>
  </si>
  <si>
    <t>Teknik Elektro</t>
  </si>
  <si>
    <t>DBP02000094</t>
  </si>
  <si>
    <t>VIONA REGITA CAHAYA ISKANDAR</t>
  </si>
  <si>
    <t>BANJARMASIN</t>
  </si>
  <si>
    <t>vregita1@gmail.com</t>
  </si>
  <si>
    <t>UNIVERSITAS LAMBUNG MANGKURAT</t>
  </si>
  <si>
    <t>Ilmu Ekonomi dan Studi Pembangunan</t>
  </si>
  <si>
    <t>DBP02000095</t>
  </si>
  <si>
    <t>AMALLIA UTAMI PUTRI</t>
  </si>
  <si>
    <t>TELUK BETUNG</t>
  </si>
  <si>
    <t>amalliaup@gmail.com</t>
  </si>
  <si>
    <t>28 (2012/2013)</t>
  </si>
  <si>
    <t>UNIVERSITAS SULTAN AGENG TIRTAYASA</t>
  </si>
  <si>
    <t>Ilmu Komunikasi</t>
  </si>
  <si>
    <t>DBP02000096</t>
  </si>
  <si>
    <t>MUHAMMAD FADLI MUSLIMIN</t>
  </si>
  <si>
    <t>muhammadfadli.muslimin@gmail.com</t>
  </si>
  <si>
    <t>UNIVERSITAS MUSLIM INDONESIA</t>
  </si>
  <si>
    <t>Sastra Inggris</t>
  </si>
  <si>
    <t>DBP02000097</t>
  </si>
  <si>
    <t>RIZKI ASHURI PRATAMA</t>
  </si>
  <si>
    <t>KARANGANYAR</t>
  </si>
  <si>
    <t>rizkiashuripratama45@gmail.com</t>
  </si>
  <si>
    <t>DBP02000098</t>
  </si>
  <si>
    <t>NARAMIA WIJAYA</t>
  </si>
  <si>
    <t>naramia1693@gmail.com</t>
  </si>
  <si>
    <t>UNIVERSITAS TARUMANAGARA</t>
  </si>
  <si>
    <t>Teknologi Informasi</t>
  </si>
  <si>
    <t>Teknik Informatika</t>
  </si>
  <si>
    <t>DBP02000099</t>
  </si>
  <si>
    <t>HALIM KUSUMA WIJAYA AKBAR</t>
  </si>
  <si>
    <t>JOMBANG</t>
  </si>
  <si>
    <t>4/7/0+001</t>
  </si>
  <si>
    <t>halimkusuma.wijayaakbar@gmail.com</t>
  </si>
  <si>
    <t>DBP02000100</t>
  </si>
  <si>
    <t>YORA PINGKAN</t>
  </si>
  <si>
    <t>PADANG</t>
  </si>
  <si>
    <t>yorapingkan4979@gmail.com</t>
  </si>
  <si>
    <t>DBP02000101</t>
  </si>
  <si>
    <t>FIKA KAMALUL WAFI</t>
  </si>
  <si>
    <t>kamalulwafi.fika@gmail.com</t>
  </si>
  <si>
    <t>DBP02000102</t>
  </si>
  <si>
    <t>HANDI YUDIANTO</t>
  </si>
  <si>
    <t>handiyudianto172@gmail.com</t>
  </si>
  <si>
    <t>UNIVERSITAS KRISTEN MARANATHA</t>
  </si>
  <si>
    <t>DBP02000103</t>
  </si>
  <si>
    <t xml:space="preserve">ADINA WIDI ASTUTI </t>
  </si>
  <si>
    <t xml:space="preserve">BANJARNEGARA </t>
  </si>
  <si>
    <t>adinawidiastuti2@gmail.com</t>
  </si>
  <si>
    <t>UNIVERSITAS ISLAM NEGERI WALISONGO</t>
  </si>
  <si>
    <t>Sains dan Teknologi (SAINTEK)</t>
  </si>
  <si>
    <t xml:space="preserve">Pendidikan Fisika </t>
  </si>
  <si>
    <t>DBP02000104</t>
  </si>
  <si>
    <t>WIMBA ZAINRONA</t>
  </si>
  <si>
    <t>SEMARANG</t>
  </si>
  <si>
    <t>wimbazain@gmail.com</t>
  </si>
  <si>
    <t>POLITEKNIK NEGERI SEMARANG</t>
  </si>
  <si>
    <t>DBP02000105</t>
  </si>
  <si>
    <t>ADHIT PRAYOGA</t>
  </si>
  <si>
    <t>PEKANBARU</t>
  </si>
  <si>
    <t>dhibreevan@gmail.com</t>
  </si>
  <si>
    <t>UNIVERSITAS RIAU</t>
  </si>
  <si>
    <t>DBP02000106</t>
  </si>
  <si>
    <t>KENNEDY SUMARLIE</t>
  </si>
  <si>
    <t>PEMATANGSIANTAR</t>
  </si>
  <si>
    <t>kennedy.sumarlie@gmail.com</t>
  </si>
  <si>
    <t>22 (2006/2007)</t>
  </si>
  <si>
    <t>DBP02000107</t>
  </si>
  <si>
    <t>ANGEL YUNISARI SIRAIT</t>
  </si>
  <si>
    <t>BEKASI</t>
  </si>
  <si>
    <t>angelyunisari29@gmail.com</t>
  </si>
  <si>
    <t>DBP02000108</t>
  </si>
  <si>
    <t>MOCHAMMAD NOUVAL DIVA RAMADHAN</t>
  </si>
  <si>
    <t>SIDOARJO</t>
  </si>
  <si>
    <t>nouvaldiva03@gmail.com</t>
  </si>
  <si>
    <t>DBP02000109</t>
  </si>
  <si>
    <t>AIRLANGGA SANI CAHYA MARGALIU</t>
  </si>
  <si>
    <t>BANDAR LAMPUNG</t>
  </si>
  <si>
    <t>airlanggamargaliu@gmail.com</t>
  </si>
  <si>
    <t>UNIVERSITAS LAMPUNG</t>
  </si>
  <si>
    <t>Teknik Geofisika</t>
  </si>
  <si>
    <t>DBP02000110</t>
  </si>
  <si>
    <t>REZA PAHLEVI</t>
  </si>
  <si>
    <t>DURI</t>
  </si>
  <si>
    <t>officialreza16@gmail.com</t>
  </si>
  <si>
    <t>31 (2015/2016)</t>
  </si>
  <si>
    <t>DBP02000111</t>
  </si>
  <si>
    <t>AHMAD YUSRIL YUSRO</t>
  </si>
  <si>
    <t>yusrilahmadyusro@gmail.com</t>
  </si>
  <si>
    <t>Matematika</t>
  </si>
  <si>
    <t>DBP02000112</t>
  </si>
  <si>
    <t xml:space="preserve">SUWARDI GUNAWAN </t>
  </si>
  <si>
    <t xml:space="preserve">SAMARINDA </t>
  </si>
  <si>
    <t>wawan04@gmail.com</t>
  </si>
  <si>
    <t>DBP02000113</t>
  </si>
  <si>
    <t>DENALDO ALFANDO FERDINAND</t>
  </si>
  <si>
    <t>denaldoalfando@gmail.com</t>
  </si>
  <si>
    <t>30 (2014/2015)</t>
  </si>
  <si>
    <t>DBP02000114</t>
  </si>
  <si>
    <t>CHARLES</t>
  </si>
  <si>
    <t>SINGKAWANG</t>
  </si>
  <si>
    <t>charleshutagalung5@gmail.com</t>
  </si>
  <si>
    <t>UNIVERSITAS MERDEKA</t>
  </si>
  <si>
    <t>DBP02000115</t>
  </si>
  <si>
    <t>HENGKY SUSILO</t>
  </si>
  <si>
    <t>PULANG PISAU</t>
  </si>
  <si>
    <t>hengky.soesilo@gmail.com</t>
  </si>
  <si>
    <t>UNIVERSITAS PALANGKARAYA</t>
  </si>
  <si>
    <t>Keguruan dan Ilmu Pendidikan</t>
  </si>
  <si>
    <t>Pendidikan Bahasa &amp; Seni</t>
  </si>
  <si>
    <t>DBP02000116</t>
  </si>
  <si>
    <t>FIRMANSJAH MUHAMMAD</t>
  </si>
  <si>
    <t>firmansjahmuhammad287@gmail.com</t>
  </si>
  <si>
    <t>Teknik Sipil</t>
  </si>
  <si>
    <t>DBP02000117</t>
  </si>
  <si>
    <t>ANDRI SETIAWAN</t>
  </si>
  <si>
    <t>BANYUWANGI</t>
  </si>
  <si>
    <t>asetiawanandri16@gmail.com</t>
  </si>
  <si>
    <t>UNIVERSITAS JEMBER</t>
  </si>
  <si>
    <t>DBP02000118</t>
  </si>
  <si>
    <t>NIDA NUSAIBAH ATHFYANTI</t>
  </si>
  <si>
    <t>nidathfy@gmail.com</t>
  </si>
  <si>
    <t>International Program on Science Education (IPSE)</t>
  </si>
  <si>
    <t>DBP02000119</t>
  </si>
  <si>
    <t>WEMVY NUGRAHA</t>
  </si>
  <si>
    <t xml:space="preserve">BANDUNG </t>
  </si>
  <si>
    <t>wemvy.nugraha@gmail.com</t>
  </si>
  <si>
    <t>INSTITUT TEKNOLOGI NASIONAL</t>
  </si>
  <si>
    <t>Teknik Kimia</t>
  </si>
  <si>
    <t>DBP02000120</t>
  </si>
  <si>
    <t xml:space="preserve">ZINNENNINA ADESTIE SAMBODO </t>
  </si>
  <si>
    <t>zinnenninaads@gmail.com</t>
  </si>
  <si>
    <t>UNIVERSITAS SANATA DHARMA</t>
  </si>
  <si>
    <t>Psikologi</t>
  </si>
  <si>
    <t>DBP02000121</t>
  </si>
  <si>
    <t>CHRISTINA LOVIANNA BAKARA</t>
  </si>
  <si>
    <t>LINGGA RAJA</t>
  </si>
  <si>
    <t>christinaloviannabakara@gmail.com</t>
  </si>
  <si>
    <t>UNIVERSITAS SAM RATULANGI</t>
  </si>
  <si>
    <t>DBP02000122</t>
  </si>
  <si>
    <t>WIRADITMA PRANANTA</t>
  </si>
  <si>
    <t>BENGKULU</t>
  </si>
  <si>
    <t>wiraditma@gmail.com</t>
  </si>
  <si>
    <t>UNIVERSITAS PADJADJARAN</t>
  </si>
  <si>
    <t>DBP02000123</t>
  </si>
  <si>
    <t>TRI AGUNG SAKSONO DARMARI</t>
  </si>
  <si>
    <t>PALU</t>
  </si>
  <si>
    <t>saksonoagung763@gmail.com</t>
  </si>
  <si>
    <t>UNIVERSITAS TADULAKO</t>
  </si>
  <si>
    <t>DBP02000124</t>
  </si>
  <si>
    <t xml:space="preserve">HERIBERTUS KAMANG </t>
  </si>
  <si>
    <t>DERU</t>
  </si>
  <si>
    <t>erland.atagolo@gmail.com</t>
  </si>
  <si>
    <t>UNIVERSITAS NUSA CENDANA</t>
  </si>
  <si>
    <t>DBP02000125</t>
  </si>
  <si>
    <t>NUR ANISA</t>
  </si>
  <si>
    <t>BELUTU</t>
  </si>
  <si>
    <t>na.nuranisa520@gmail.com</t>
  </si>
  <si>
    <t>DBP02000126</t>
  </si>
  <si>
    <t>ODILIA INDIRA SARASWATI</t>
  </si>
  <si>
    <t>JAMBI</t>
  </si>
  <si>
    <t>odsaras@gmail.com</t>
  </si>
  <si>
    <t>DBP02000127</t>
  </si>
  <si>
    <t>MARSELIUS ARONGGEAR</t>
  </si>
  <si>
    <t>MANOKWARI</t>
  </si>
  <si>
    <t>marselius.aronggear19@gmail.com</t>
  </si>
  <si>
    <t>UNIVERSITAS NEGERI PAPUA</t>
  </si>
  <si>
    <t>Fakultas Sastra dan budaya</t>
  </si>
  <si>
    <t>Antropologi</t>
  </si>
  <si>
    <t>DBP02000128</t>
  </si>
  <si>
    <t xml:space="preserve">TEGUH KUSUMA </t>
  </si>
  <si>
    <t xml:space="preserve">KOTA CIREBON </t>
  </si>
  <si>
    <t>teguhkusuma522@gmail.com</t>
  </si>
  <si>
    <t>UNIVERSITAS SWADAYA GUNUNG DJATI</t>
  </si>
  <si>
    <t xml:space="preserve">Akuntansi </t>
  </si>
  <si>
    <t>DBP02000129</t>
  </si>
  <si>
    <t>GABBY NACA STEVANY</t>
  </si>
  <si>
    <t>TANGERANG</t>
  </si>
  <si>
    <t>gnacastevany@gmail.com</t>
  </si>
  <si>
    <t>DBP02000130</t>
  </si>
  <si>
    <t>DESTIA RAHMA</t>
  </si>
  <si>
    <t>destiarahma24@gmail.com</t>
  </si>
  <si>
    <t>Administrasi Bisnis</t>
  </si>
  <si>
    <t>Administrasi Bisnis Terapan</t>
  </si>
  <si>
    <t>DBP02000131</t>
  </si>
  <si>
    <t xml:space="preserve">RIZKI NOVIANDA </t>
  </si>
  <si>
    <t>SUSOH</t>
  </si>
  <si>
    <t>rizkinovianda29@gmail.com</t>
  </si>
  <si>
    <t>DBP02000132</t>
  </si>
  <si>
    <t>ELSYAFF VISSHILMI KAFFAH</t>
  </si>
  <si>
    <t>elsyaffvk@gmail.com</t>
  </si>
  <si>
    <t>DBP02000133</t>
  </si>
  <si>
    <t xml:space="preserve">MUHAMMAD DAFFA EL HAQ </t>
  </si>
  <si>
    <t>ksdaffaelhaq@gmail.com</t>
  </si>
  <si>
    <t xml:space="preserve">Administrasi Bisnis </t>
  </si>
  <si>
    <t>DBP02000134</t>
  </si>
  <si>
    <t>ZIDAN INSA FAUZI</t>
  </si>
  <si>
    <t>zifausa@gmail.com</t>
  </si>
  <si>
    <t>DBP02000135</t>
  </si>
  <si>
    <t>ANJANI PUTRI PURNAMASARI</t>
  </si>
  <si>
    <t>anjanipurnamasr@gmail.com</t>
  </si>
  <si>
    <t>DBP02000136</t>
  </si>
  <si>
    <t>BATHIEN JAGARAGA</t>
  </si>
  <si>
    <t>bathien.jagaraga@gmail.com</t>
  </si>
  <si>
    <t>DBP02000137</t>
  </si>
  <si>
    <t>KADEK RADHANI SUGIANTARI</t>
  </si>
  <si>
    <t>DENPASAR</t>
  </si>
  <si>
    <t>sugiantari.radhani@gmail.com</t>
  </si>
  <si>
    <t>UNIVERSITAS BRAWIJAYA</t>
  </si>
  <si>
    <t>DBP02000138</t>
  </si>
  <si>
    <t>REBECCA HELLEN WIKARJANTO</t>
  </si>
  <si>
    <t>KLATEN</t>
  </si>
  <si>
    <t>hellenrebecca60@gmail.com</t>
  </si>
  <si>
    <t>UNIVERSITAS NEGERI MALANG</t>
  </si>
  <si>
    <t xml:space="preserve">Bioteknologi </t>
  </si>
  <si>
    <t>DBP02000139</t>
  </si>
  <si>
    <t>EVANDO JOSANO RIZKYNANDA</t>
  </si>
  <si>
    <t>SALATIGA</t>
  </si>
  <si>
    <t>evando.josano@gmail.com</t>
  </si>
  <si>
    <t>UNIVERSITAS KRISTEN SATYA WACANA</t>
  </si>
  <si>
    <t>DBP02000140</t>
  </si>
  <si>
    <t>KADEK SITA ARTHA HAPSARI</t>
  </si>
  <si>
    <t>kadekhapsari98@gmail.com</t>
  </si>
  <si>
    <t>UNIVERSITAS UDAYANA</t>
  </si>
  <si>
    <t>DBP02000141</t>
  </si>
  <si>
    <t>YUSUF RAFSANJANI</t>
  </si>
  <si>
    <t xml:space="preserve">SUKOHARJO </t>
  </si>
  <si>
    <t>yusufrafsanjani002@gmail.com</t>
  </si>
  <si>
    <t>UNIVERSITAS ISLAM BANDUNG</t>
  </si>
  <si>
    <t>Statistika</t>
  </si>
  <si>
    <t>DBP02000142</t>
  </si>
  <si>
    <t>GEMA TAKBIR MUHARAM</t>
  </si>
  <si>
    <t>SUBANG</t>
  </si>
  <si>
    <t>gemamuharam61@gmail.com</t>
  </si>
  <si>
    <t>POLITEKNIK NEGERI BANDUNG</t>
  </si>
  <si>
    <t>Akuntansi</t>
  </si>
  <si>
    <t>Keuangan Syariah</t>
  </si>
  <si>
    <t>DBP02000143</t>
  </si>
  <si>
    <t>UUTIA KHAIRIA</t>
  </si>
  <si>
    <t>uutiakhairia01@gmail.com</t>
  </si>
  <si>
    <t>DBP02000144</t>
  </si>
  <si>
    <t>TIODORA AYUDIA NOVITA SIPAKKAR</t>
  </si>
  <si>
    <t>tioayudia167@gmail.com</t>
  </si>
  <si>
    <t>UNIVERSITAS BENGKULU</t>
  </si>
  <si>
    <t>Agribisnis</t>
  </si>
  <si>
    <t>DBP02000145</t>
  </si>
  <si>
    <t>MONANG APRINDA PUTRA</t>
  </si>
  <si>
    <t>BANTUL</t>
  </si>
  <si>
    <t>monang.2605@gmail.com</t>
  </si>
  <si>
    <t>UNIVERSITAS PEMBANGUNAN NASIONAL VETERAN YOGYAKARTA</t>
  </si>
  <si>
    <t>DBP02000146</t>
  </si>
  <si>
    <t>MARCELINUS ADHI ARYO P</t>
  </si>
  <si>
    <t>marcelinus.aap@gmail.com</t>
  </si>
  <si>
    <t>Teknik Mesin</t>
  </si>
  <si>
    <t>DBP02000147</t>
  </si>
  <si>
    <t>ALFIENA INTAN ZAHIRAH</t>
  </si>
  <si>
    <t>alfienaintan@gmail.com</t>
  </si>
  <si>
    <t>DBP02000148</t>
  </si>
  <si>
    <t>VIELOY IMMANUELA YOHANDRA RAJAGUKGUK</t>
  </si>
  <si>
    <t>YOGYAKARTA</t>
  </si>
  <si>
    <t>vieloy.immanuel@gmail.com</t>
  </si>
  <si>
    <t>UNIVERSITAS ATMA JAYA YOGYAKARTA</t>
  </si>
  <si>
    <t>DBP02000149</t>
  </si>
  <si>
    <t>I GUSTI AGUNG AYU KETUT ANGGANI</t>
  </si>
  <si>
    <t>agi.anggani8@gmail.com</t>
  </si>
  <si>
    <t>DBP02000150</t>
  </si>
  <si>
    <t>AHMAD FAIKAR SHIDDIQ</t>
  </si>
  <si>
    <t>ahmadasbon@gmail.com</t>
  </si>
  <si>
    <t>DBP02000151</t>
  </si>
  <si>
    <t>RAVINA AULIA</t>
  </si>
  <si>
    <t>ravinaulia@gmail.com</t>
  </si>
  <si>
    <t>DBP02000152</t>
  </si>
  <si>
    <t>SRI DESTRI BUDIARTI</t>
  </si>
  <si>
    <t>sridestri12@gmail.com</t>
  </si>
  <si>
    <t>SEKOLAH TINGGI ILMU EKONOMI YKPN</t>
  </si>
  <si>
    <t>DBP02000153</t>
  </si>
  <si>
    <t>IGNATIA INEZ MAHENDRA</t>
  </si>
  <si>
    <t>ignatiainezm@gmail.com</t>
  </si>
  <si>
    <t>Ekonomi dan Bisnis</t>
  </si>
  <si>
    <t>DBP02000154</t>
  </si>
  <si>
    <t>FRANZITO RISKY MILLIANO</t>
  </si>
  <si>
    <t>KAB. SEMARANG</t>
  </si>
  <si>
    <t>frmilliano@gmail.com</t>
  </si>
  <si>
    <t>UNIVERSITAS KATOLIK SOEGIJAPRANATA</t>
  </si>
  <si>
    <t>Hukum</t>
  </si>
  <si>
    <t>Ilmu Hukum</t>
  </si>
  <si>
    <t>DBP02000155</t>
  </si>
  <si>
    <t>ALYA DEWI PRITANIA</t>
  </si>
  <si>
    <t>PLAJU</t>
  </si>
  <si>
    <t>alyadewipritania1@gmail.com</t>
  </si>
  <si>
    <t>UNIVERSITAS SRIWIJAYA</t>
  </si>
  <si>
    <t>DBP02000156</t>
  </si>
  <si>
    <t>ALFIAN DAFA</t>
  </si>
  <si>
    <t>alfianda680@gmail.com</t>
  </si>
  <si>
    <t>UNIVERSITAS ISLAM NEGERI SYARIF HIDAYATULLAH</t>
  </si>
  <si>
    <t>Ekonomi Pembangunan</t>
  </si>
  <si>
    <t>DBP02000157</t>
  </si>
  <si>
    <t>KOMANG BAYU ANANTA PUTRA</t>
  </si>
  <si>
    <t>komang.bayuanantap@gmail.com</t>
  </si>
  <si>
    <t>DBP02000158</t>
  </si>
  <si>
    <t>ALLIF FIRDAUSI</t>
  </si>
  <si>
    <t>firdausiallif@gmail.com</t>
  </si>
  <si>
    <t>Teknik Fisika</t>
  </si>
  <si>
    <t>DBP02000159</t>
  </si>
  <si>
    <t>IFAN HASNAN TAUFIQUR ROHMAN</t>
  </si>
  <si>
    <t>JEMBER</t>
  </si>
  <si>
    <t>ifanhasnan@gmail.com</t>
  </si>
  <si>
    <t>DBP02000160</t>
  </si>
  <si>
    <t>EVELYNE NINDA WINAHYU</t>
  </si>
  <si>
    <t>evelynenindawinahyu@gmail.com</t>
  </si>
  <si>
    <t>DBP02000161</t>
  </si>
  <si>
    <t>WENTI SUSILAWATI SIHOMBING</t>
  </si>
  <si>
    <t>SIBOLGA</t>
  </si>
  <si>
    <t>wentisihombingwss1808@gmail.com</t>
  </si>
  <si>
    <t xml:space="preserve">Teknologi Industri Pertanian </t>
  </si>
  <si>
    <t>DBP02000162</t>
  </si>
  <si>
    <t>ILGA GALUH PERMATASARI</t>
  </si>
  <si>
    <t>ilgapermata@gmail.com</t>
  </si>
  <si>
    <t>Peternakan dan Pertanian</t>
  </si>
  <si>
    <t>Teknologi Pangan</t>
  </si>
  <si>
    <t>DBP02000163</t>
  </si>
  <si>
    <t>DESY MAGDALENA HALOHO</t>
  </si>
  <si>
    <t>desymh@gmail.com</t>
  </si>
  <si>
    <t>DBP02000164</t>
  </si>
  <si>
    <t>ANINDYA SEPTISUWENDANI</t>
  </si>
  <si>
    <t>anindyaseptis@gmail.com</t>
  </si>
  <si>
    <t>DBP02000165</t>
  </si>
  <si>
    <t>NOVYAR BOY PUTRA SARAGI</t>
  </si>
  <si>
    <t>PEMATANG SIANTAR</t>
  </si>
  <si>
    <t>novyarboy13@gmail.com</t>
  </si>
  <si>
    <t>DBP02000166</t>
  </si>
  <si>
    <t>ELISABET HANA MEGUMI</t>
  </si>
  <si>
    <t>hanamegumie@gmail.com</t>
  </si>
  <si>
    <t>DBP02000167</t>
  </si>
  <si>
    <t>ALHIQNI RAYA AUFA</t>
  </si>
  <si>
    <t>alhiqnira14@gmail.com</t>
  </si>
  <si>
    <t>DBP02000168</t>
  </si>
  <si>
    <t xml:space="preserve">BINTANG FEBRIAN ALAMANDHA </t>
  </si>
  <si>
    <t>BATAN</t>
  </si>
  <si>
    <t>febrianbintang3@gmail.com</t>
  </si>
  <si>
    <t>POLITEKNIK NEGERI BATAM</t>
  </si>
  <si>
    <t>Teknologi Rekayasa Multimedia</t>
  </si>
  <si>
    <t>DBP02000169</t>
  </si>
  <si>
    <t>EMA RIA YULIANIS</t>
  </si>
  <si>
    <t>PALEMBANG</t>
  </si>
  <si>
    <t>yulianiser@gmail.com</t>
  </si>
  <si>
    <t>Kedokteran</t>
  </si>
  <si>
    <t>DBP02000170</t>
  </si>
  <si>
    <t>ANITA FITRIYANI RUMAPEA</t>
  </si>
  <si>
    <t>TUKTUK</t>
  </si>
  <si>
    <t>anitarumapea@gmail.com</t>
  </si>
  <si>
    <t>Gizi</t>
  </si>
  <si>
    <t>DBP02000171</t>
  </si>
  <si>
    <t>UBAID IKBAR NAJIB NUR FAUZI</t>
  </si>
  <si>
    <t>KENDAL</t>
  </si>
  <si>
    <t>ubaidikbar@gmail.com</t>
  </si>
  <si>
    <t>DBP02000172</t>
  </si>
  <si>
    <t>TERSIA RALESMANTI INNOCENSIA</t>
  </si>
  <si>
    <t>tersia.inne@gmail.com</t>
  </si>
  <si>
    <t>INSTITUT PERTANIAN BOGOR</t>
  </si>
  <si>
    <t>DBP02000173</t>
  </si>
  <si>
    <t>ADIWIRA SURYA SUSANTO</t>
  </si>
  <si>
    <t>adiwirasusanto@gmail.com</t>
  </si>
  <si>
    <t>Teknik Kelautan</t>
  </si>
  <si>
    <t>DBP02000174</t>
  </si>
  <si>
    <t>MUHAMMAD DZAKY RIZQI MUHARRAM</t>
  </si>
  <si>
    <t>mdzakyrm2001@gmail.com</t>
  </si>
  <si>
    <t>Kesehatan Masyarakat</t>
  </si>
  <si>
    <t>DBP02000175</t>
  </si>
  <si>
    <t>ADITYA RIFKI RAHMANDIKA S</t>
  </si>
  <si>
    <t>adityasuratmin96@gmail.com</t>
  </si>
  <si>
    <t>DBP02000176</t>
  </si>
  <si>
    <t>GUARDIAN MUHAMMAD</t>
  </si>
  <si>
    <t>SUMEDANG</t>
  </si>
  <si>
    <t>guardianmuhammad7@gmail.com</t>
  </si>
  <si>
    <t>29 (2013/2014)</t>
  </si>
  <si>
    <t>Ilmu Administrasi</t>
  </si>
  <si>
    <t>Ilmu Administrasi Bisnis</t>
  </si>
  <si>
    <t>DBP02000177</t>
  </si>
  <si>
    <t>GOVINDA YUDHISTIRA</t>
  </si>
  <si>
    <t>itsgyuno@gmail.com</t>
  </si>
  <si>
    <t>DBP02000178</t>
  </si>
  <si>
    <t>SILMI HAFIZHAH</t>
  </si>
  <si>
    <t>silmihafiz19@gmail.com</t>
  </si>
  <si>
    <t>DBP02000179</t>
  </si>
  <si>
    <t>PUTRI CAROLINE</t>
  </si>
  <si>
    <t>CIREBON</t>
  </si>
  <si>
    <t>carolineputri95@gmail.com</t>
  </si>
  <si>
    <t>UNIVERSITAS JENDERAL SOEDIRMAN</t>
  </si>
  <si>
    <t>DBP02000180</t>
  </si>
  <si>
    <t>LYA NAILATUL FADILAH</t>
  </si>
  <si>
    <t>KAYUAGUNG</t>
  </si>
  <si>
    <t>nailatulfadilah29@gmail.com</t>
  </si>
  <si>
    <t>DBP02000181</t>
  </si>
  <si>
    <t>YURDIKA ABDUL RIFKY</t>
  </si>
  <si>
    <t>yurdikaabdulrifky@gmail.com</t>
  </si>
  <si>
    <t>DBP02000182</t>
  </si>
  <si>
    <t>SALJU QURRATA AYYUN</t>
  </si>
  <si>
    <t>saljuqurattaayun@gmail.com</t>
  </si>
  <si>
    <t>DBP02000183</t>
  </si>
  <si>
    <t>FANNY KHALIFATU ZANAH</t>
  </si>
  <si>
    <t>fannykhalifatu@gmail.com</t>
  </si>
  <si>
    <t>DBP02000184</t>
  </si>
  <si>
    <t>AUBREY FIORENTIA HOKGIONO</t>
  </si>
  <si>
    <t>SURABAYA</t>
  </si>
  <si>
    <t>aubreyfiorentia@gmail.com</t>
  </si>
  <si>
    <t>DBP02000185</t>
  </si>
  <si>
    <t xml:space="preserve">NENI IMRO'ATUN KHASANAH </t>
  </si>
  <si>
    <t>SERANG</t>
  </si>
  <si>
    <t>neniimroatunkhasanah313@gmail.com</t>
  </si>
  <si>
    <t>DBP02000186</t>
  </si>
  <si>
    <t>NURUL JANNAH</t>
  </si>
  <si>
    <t>PANGKAL PINANG</t>
  </si>
  <si>
    <t>adanuruljannah3400@gmail.com</t>
  </si>
  <si>
    <t>DBP02000187</t>
  </si>
  <si>
    <t xml:space="preserve">MUHAMAD IKHSAN AL FARIZI </t>
  </si>
  <si>
    <t>muhamad.ikhsan.al12@gmail.com</t>
  </si>
  <si>
    <t>DBP02000188</t>
  </si>
  <si>
    <t xml:space="preserve">SILFANI </t>
  </si>
  <si>
    <t>silfanifunny48@gmail.com</t>
  </si>
  <si>
    <t>UNIVERSITAS NEGERI YOGYAKARTA</t>
  </si>
  <si>
    <t>DBP02000189</t>
  </si>
  <si>
    <t>HADIT FIKRI FALAH</t>
  </si>
  <si>
    <t>haditfikri13@gmail.com</t>
  </si>
  <si>
    <t>DBP02000190</t>
  </si>
  <si>
    <t>YOPI BURHANUDIN</t>
  </si>
  <si>
    <t>yopiburhanudin04@gmail.com</t>
  </si>
  <si>
    <t>UNIVERSITAS SILIWANGI</t>
  </si>
  <si>
    <t>DBP02000191</t>
  </si>
  <si>
    <t>CITA NANDA KUSUMA NEGARI</t>
  </si>
  <si>
    <t>MALANG</t>
  </si>
  <si>
    <t>citanandakn@gmail.com</t>
  </si>
  <si>
    <t>INSTITUT TEKNOLOGI SEPULUH NOPEMBER</t>
  </si>
  <si>
    <t>Fakultas Teknik Sipil, Lingkungan, dan Kebumian</t>
  </si>
  <si>
    <t>DBP02000192</t>
  </si>
  <si>
    <t>AHSAN MUZRI.S</t>
  </si>
  <si>
    <t>TAJUNCU</t>
  </si>
  <si>
    <t>muzriahsan@gmail.com</t>
  </si>
  <si>
    <t>UNIVERSITAS NEGERI MAKASSAR</t>
  </si>
  <si>
    <t>Bahasa dan Sastra</t>
  </si>
  <si>
    <t>Bahasa Inggris</t>
  </si>
  <si>
    <t>DBP02000193</t>
  </si>
  <si>
    <t>AUDREY ELEANOR YULIANA AZURY MANGIMBULUR</t>
  </si>
  <si>
    <t>KOTA BEKASI</t>
  </si>
  <si>
    <t>audreymangimbulur@gmail.com</t>
  </si>
  <si>
    <t>DBP02000194</t>
  </si>
  <si>
    <t>DESWINTA AURELIA</t>
  </si>
  <si>
    <t>deswinta.aurelia@gmail.com</t>
  </si>
  <si>
    <t>DBP02000195</t>
  </si>
  <si>
    <t>FELICIA HARSONOSEPUTRO</t>
  </si>
  <si>
    <t>felicia.harsonoseputro@gmail.com</t>
  </si>
  <si>
    <t>Aktuaria</t>
  </si>
  <si>
    <t>DBP02000196</t>
  </si>
  <si>
    <t xml:space="preserve">MUTIARA NURHALIZA </t>
  </si>
  <si>
    <t>mutiaranurhaliza17@gmail.com</t>
  </si>
  <si>
    <t>DBP02000197</t>
  </si>
  <si>
    <t>SONIA CHRISTABELLA</t>
  </si>
  <si>
    <t>soniachristabella@gmail.com</t>
  </si>
  <si>
    <t>DBP02000198</t>
  </si>
  <si>
    <t>BRAMANTYO RIZKY ARDYONO PUTRO</t>
  </si>
  <si>
    <t>bramantyorizky21@gmail.com</t>
  </si>
  <si>
    <t>DBP02000199</t>
  </si>
  <si>
    <t>ADE POETRA</t>
  </si>
  <si>
    <t>adepoetra8@gmail.com</t>
  </si>
  <si>
    <t>DBP02000200</t>
  </si>
  <si>
    <t>GILANG SEPTYANA DWI MULYANTORO</t>
  </si>
  <si>
    <t>PATI</t>
  </si>
  <si>
    <t>gilangmulyantoro@gmail.com</t>
  </si>
  <si>
    <t>26 (2010/2011)</t>
  </si>
  <si>
    <t>DBP02000201</t>
  </si>
  <si>
    <t>FARHANAH TAMIMIYAH</t>
  </si>
  <si>
    <t>farhanah.tami@gmail.com</t>
  </si>
  <si>
    <t>Pendidikan Bahasa Inggris</t>
  </si>
  <si>
    <t>DBP02000202</t>
  </si>
  <si>
    <t>ANDRA LIENG SHIA SITIO</t>
  </si>
  <si>
    <t>GUNUNGKIDUL</t>
  </si>
  <si>
    <t>andraliengshiasitio@gmail.com</t>
  </si>
  <si>
    <t>DBP02000203</t>
  </si>
  <si>
    <t>OLIVIA AFINA</t>
  </si>
  <si>
    <t>oliviaafina96@gmail.com</t>
  </si>
  <si>
    <t>UNIVERSITAS MUHAMMADIYAH MALANG</t>
  </si>
  <si>
    <t>DBP02000204</t>
  </si>
  <si>
    <t>EFRAIM NATANAEL SIMANUNGKALIT</t>
  </si>
  <si>
    <t>efraimnatanael08@gmail.com</t>
  </si>
  <si>
    <t>UNIVERSITAS SUMATERA UTARA</t>
  </si>
  <si>
    <t>DBP02000205</t>
  </si>
  <si>
    <t>YULIA KUMALA SARI</t>
  </si>
  <si>
    <t>yuliakumala09@gmail.com</t>
  </si>
  <si>
    <t>DBP02000206</t>
  </si>
  <si>
    <t>MUHAMMAD ILYAS</t>
  </si>
  <si>
    <t>JEPARA</t>
  </si>
  <si>
    <t>muhammadilyas1489@gmail.com</t>
  </si>
  <si>
    <t>DBP02000207</t>
  </si>
  <si>
    <t>OSVALDO JIMKELLY LAMENG</t>
  </si>
  <si>
    <t>KUPANG</t>
  </si>
  <si>
    <t>osvjl.official@gmail.com</t>
  </si>
  <si>
    <t>INSTITUT SENI INDONESIA YOGYAKARTA</t>
  </si>
  <si>
    <t>Seni Rupa</t>
  </si>
  <si>
    <t>Kriya</t>
  </si>
  <si>
    <t>DBP02000208</t>
  </si>
  <si>
    <t>MOHAMMAD KHASAN</t>
  </si>
  <si>
    <t>24 (2008/2009)</t>
  </si>
  <si>
    <t>DBP02000209</t>
  </si>
  <si>
    <t>JOCELYN WIJAYA</t>
  </si>
  <si>
    <t>jw.jocelynwijaya@gmail.com</t>
  </si>
  <si>
    <t>Komunikasi</t>
  </si>
  <si>
    <t>DBP02000210</t>
  </si>
  <si>
    <t>SUHARTANTOWI LAUW</t>
  </si>
  <si>
    <t>MAKASSAR</t>
  </si>
  <si>
    <t>lauwtantowi@gmail.com</t>
  </si>
  <si>
    <t>DBP02000211</t>
  </si>
  <si>
    <t>ERLINA SOEBROTO</t>
  </si>
  <si>
    <t>erlinasoebroto@gmail.com</t>
  </si>
  <si>
    <t>DBP02000212</t>
  </si>
  <si>
    <t>WIDYA WIJAYA KUSUMA PUTRI</t>
  </si>
  <si>
    <t>BOJONEGORO</t>
  </si>
  <si>
    <t>widyawijaya49@gmail.com</t>
  </si>
  <si>
    <t>DBP02000213</t>
  </si>
  <si>
    <t>NINDYA PUTRI EDYTYA</t>
  </si>
  <si>
    <t>nindya401@gmail.com</t>
  </si>
  <si>
    <t>DBP02000214</t>
  </si>
  <si>
    <t>SALSABILA AULIA RAHMA</t>
  </si>
  <si>
    <t>bellauliarh@gmail.com</t>
  </si>
  <si>
    <t>DBP02000215</t>
  </si>
  <si>
    <t xml:space="preserve">ADISTY FARIDA PUTRI </t>
  </si>
  <si>
    <t>KUNINGAN</t>
  </si>
  <si>
    <t>adistyfputri10@gmail.com</t>
  </si>
  <si>
    <t>DBP02000216</t>
  </si>
  <si>
    <t>VIA SUFIANTI</t>
  </si>
  <si>
    <t>viasufiyanti1212@gmail.com</t>
  </si>
  <si>
    <t>DBP02000217</t>
  </si>
  <si>
    <t>ADITIYA FARDIANA RAHMAN</t>
  </si>
  <si>
    <t>aditiyafrdn@gmail.com</t>
  </si>
  <si>
    <t>UNIVERSITAS WIDYATAMA</t>
  </si>
  <si>
    <t>Bisnis &amp; Manajemen</t>
  </si>
  <si>
    <t>DBP02000218</t>
  </si>
  <si>
    <t>SRI WAHYUNI</t>
  </si>
  <si>
    <t>yuni1785.sw@gmail.com</t>
  </si>
  <si>
    <t>DBP02000219</t>
  </si>
  <si>
    <t>DEVY TARYA CHRISTMAS BR NABABAN</t>
  </si>
  <si>
    <t>devytc16@gmail.com</t>
  </si>
  <si>
    <t>Pendidikan Matematika</t>
  </si>
  <si>
    <t>DBP02000220</t>
  </si>
  <si>
    <t>NURUL KARINA</t>
  </si>
  <si>
    <t>nurulkarina22@yahoo.com</t>
  </si>
  <si>
    <t>DBP02000221</t>
  </si>
  <si>
    <t>SHANIA</t>
  </si>
  <si>
    <t>PEMANGKAT</t>
  </si>
  <si>
    <t>shaniash18@gmail.com</t>
  </si>
  <si>
    <t>DBP02000222</t>
  </si>
  <si>
    <t>NADYA FERONIKA HUTAGALUNG</t>
  </si>
  <si>
    <t xml:space="preserve">SIDIKALANG </t>
  </si>
  <si>
    <t>nadyahutagalung1209@gmail.com</t>
  </si>
  <si>
    <t xml:space="preserve">Teknologi Industri </t>
  </si>
  <si>
    <t>Sistem Informasi</t>
  </si>
  <si>
    <t>DBP02000223</t>
  </si>
  <si>
    <t>RIZKY RIAN SAPUTRA</t>
  </si>
  <si>
    <t>rizkyryan2014@gmail.com</t>
  </si>
  <si>
    <t>DBP02000224</t>
  </si>
  <si>
    <t>MARIA ANGELIQUE</t>
  </si>
  <si>
    <t>marlique.work@gmail.com</t>
  </si>
  <si>
    <t>DBP02000225</t>
  </si>
  <si>
    <t>JORDAN</t>
  </si>
  <si>
    <t>dai.jordan00@gmail.com</t>
  </si>
  <si>
    <t>DBP02000226</t>
  </si>
  <si>
    <t>DYLAN ARGA ANAND BHAKTA</t>
  </si>
  <si>
    <t>arga.inq@gmail.com</t>
  </si>
  <si>
    <t>DBP02000227</t>
  </si>
  <si>
    <t>KADEK BRAMANTYA KRISNANTA PUTRA</t>
  </si>
  <si>
    <t>bram.krisnanta@gmail.com</t>
  </si>
  <si>
    <t>DBP02000228</t>
  </si>
  <si>
    <t>JULIUS IMMANUEL THEO KRISNA</t>
  </si>
  <si>
    <t>juliusimmanueltheo@gmail.com</t>
  </si>
  <si>
    <t>UNIVERSITAS DIAN NUSWANTORO</t>
  </si>
  <si>
    <t>Ilmu Komputer</t>
  </si>
  <si>
    <t>DBP02000229</t>
  </si>
  <si>
    <t>ARJUNA MARCELINO</t>
  </si>
  <si>
    <t>arjunamarcelino@gmail.com</t>
  </si>
  <si>
    <t>INSTITUT TEKNOLOGI BANDUNG</t>
  </si>
  <si>
    <t>Sekolah Teknik Elektro dan Informatika</t>
  </si>
  <si>
    <t>DBP02000230</t>
  </si>
  <si>
    <t xml:space="preserve">YOLA SEKAR PUDHAK WANGI </t>
  </si>
  <si>
    <t>yolasekar@gmail.com</t>
  </si>
  <si>
    <t xml:space="preserve">Hubungan Internasional </t>
  </si>
  <si>
    <t>DBP02000231</t>
  </si>
  <si>
    <t>SAMUEL MIDUK ANUGRAH PASARIBU</t>
  </si>
  <si>
    <t>samuelanugrahpasaribu@gmail.com</t>
  </si>
  <si>
    <t>Teknik Komputer</t>
  </si>
  <si>
    <t>DBP02000232</t>
  </si>
  <si>
    <t>PUTRI UMAMI QOLBI</t>
  </si>
  <si>
    <t>ini.putri10@gmail.com</t>
  </si>
  <si>
    <t>DBP02000233</t>
  </si>
  <si>
    <t>MELANIE KRISTI</t>
  </si>
  <si>
    <t>melanikristi.mk@gmail.com</t>
  </si>
  <si>
    <t>DBP02000234</t>
  </si>
  <si>
    <t>HANIF DWI KURNIAWAN</t>
  </si>
  <si>
    <t>hanifdk02@gmail.com</t>
  </si>
  <si>
    <t>DBP02000235</t>
  </si>
  <si>
    <t>FITRA SUCIYANTI</t>
  </si>
  <si>
    <t>MAKALE</t>
  </si>
  <si>
    <t>shucis126@gmail.com</t>
  </si>
  <si>
    <t>Agama Islam</t>
  </si>
  <si>
    <t>Hukum Keluarga (Al-Ahwal Al-Syakhshiyyah)</t>
  </si>
  <si>
    <t>DBP02000236</t>
  </si>
  <si>
    <t>FAREL MUHAMAD ALFARISI</t>
  </si>
  <si>
    <t>alfarisi.farel@gmail.com</t>
  </si>
  <si>
    <t>DBP02000237</t>
  </si>
  <si>
    <t xml:space="preserve">MAYDITAMA AUDIVA SIHONO </t>
  </si>
  <si>
    <t>mayditamaudii@gmail.com</t>
  </si>
  <si>
    <t>DBP02000238</t>
  </si>
  <si>
    <t>MUHAMMAD MADDAH FAHMI</t>
  </si>
  <si>
    <t>hello.amik@gmail.com</t>
  </si>
  <si>
    <t>DBP02000239</t>
  </si>
  <si>
    <t>AMALIA AZ-ZAHRA</t>
  </si>
  <si>
    <t>amlzzhra@gmail.com</t>
  </si>
  <si>
    <t>UNIVERSITAS PROF. DR. MOESTOPO (BERAGAMA)</t>
  </si>
  <si>
    <t>DBP02000240</t>
  </si>
  <si>
    <t>FARHANA SYARA</t>
  </si>
  <si>
    <t>farhanaasyara@gmail.com</t>
  </si>
  <si>
    <t>DBP02000241</t>
  </si>
  <si>
    <t>INDAH AFIF KHAIRUNNISA</t>
  </si>
  <si>
    <t>in.khairunnisa@gmail.com</t>
  </si>
  <si>
    <t>DBP02000242</t>
  </si>
  <si>
    <t>FAUSTINUS ADVEN KRISTANTO</t>
  </si>
  <si>
    <t>faustinusadven@gmail.com</t>
  </si>
  <si>
    <t>DBP02000243</t>
  </si>
  <si>
    <t>ZULFIKA SATRIA KUSHARSANTO</t>
  </si>
  <si>
    <t>zulfika.satria@gmail.com</t>
  </si>
  <si>
    <t>Perencanaan Wilayah dan Kota</t>
  </si>
  <si>
    <t>DBP02000244</t>
  </si>
  <si>
    <t>BUDIONO UJAYA PUTRA</t>
  </si>
  <si>
    <t>budionoup.88@gmail.com</t>
  </si>
  <si>
    <t>Perikanan dan Ilmu Kelautan</t>
  </si>
  <si>
    <t>Teknologi Hasil Perairan</t>
  </si>
  <si>
    <t>DBP02000245</t>
  </si>
  <si>
    <t>FADRO</t>
  </si>
  <si>
    <t>SEKIJANG</t>
  </si>
  <si>
    <t>fadrostp@gmail.com</t>
  </si>
  <si>
    <t>DBP02000246</t>
  </si>
  <si>
    <t>HASTA AISYAH TRIDA PRAMITA</t>
  </si>
  <si>
    <t>hastatrida16@gmail.com</t>
  </si>
  <si>
    <t>UNIVERSITAS NASIONAL</t>
  </si>
  <si>
    <t>DBP02000247</t>
  </si>
  <si>
    <t>EKA MEI DAMAYANTIE</t>
  </si>
  <si>
    <t>damayantie1983@gmail.com</t>
  </si>
  <si>
    <t>19 (2003/2004)</t>
  </si>
  <si>
    <t>Sosiologi</t>
  </si>
  <si>
    <t>DBP02000248</t>
  </si>
  <si>
    <t>QUARTEN</t>
  </si>
  <si>
    <t>quarten17@gmail.com</t>
  </si>
  <si>
    <t>DBP02000249</t>
  </si>
  <si>
    <t>NIXIE</t>
  </si>
  <si>
    <t>nixie.herianto@gmail.com</t>
  </si>
  <si>
    <t>UNIVERSITAS KATOLIK PARAHYANGAN</t>
  </si>
  <si>
    <t>DBP02000250</t>
  </si>
  <si>
    <t>SAFIRA SIWI PERWITA KUSUMAWARDHANI</t>
  </si>
  <si>
    <t>safirasiwipk31@gmail.com</t>
  </si>
  <si>
    <t>DBP02000251</t>
  </si>
  <si>
    <t>DEWINI</t>
  </si>
  <si>
    <t>dewinifitry@gmail.com</t>
  </si>
  <si>
    <t>DBP02000252</t>
  </si>
  <si>
    <t>YENNI SAPUTRI</t>
  </si>
  <si>
    <t>yennsaputri@gmail.com</t>
  </si>
  <si>
    <t>DBP02000253</t>
  </si>
  <si>
    <t>SYAHVAN ALVIANSYAH DIVA</t>
  </si>
  <si>
    <t>syahvanalviansyah91@gmail.com</t>
  </si>
  <si>
    <t>DBP02000254</t>
  </si>
  <si>
    <t>PUTRI UTAMI RAHMAWATI</t>
  </si>
  <si>
    <t>PAJARBULAN</t>
  </si>
  <si>
    <t>putriur07@gmail.com</t>
  </si>
  <si>
    <t xml:space="preserve">Perikanan dan Ilmu Kelautan </t>
  </si>
  <si>
    <t>Agrobisnis Perikanan</t>
  </si>
  <si>
    <t>DBP02000255</t>
  </si>
  <si>
    <t>WELLY ANGGELIA</t>
  </si>
  <si>
    <t>SUNGAI PENUH</t>
  </si>
  <si>
    <t>welly.anggelia@gmail.com</t>
  </si>
  <si>
    <t>DBP02000256</t>
  </si>
  <si>
    <t xml:space="preserve">ANNISA KENCANA NINGRUM </t>
  </si>
  <si>
    <t xml:space="preserve">DEPOK </t>
  </si>
  <si>
    <t>annisakencananingrum@gmail.com</t>
  </si>
  <si>
    <t>DBP02000257</t>
  </si>
  <si>
    <t>ARUM KUSUMA WARDHANY</t>
  </si>
  <si>
    <t>SOLO</t>
  </si>
  <si>
    <t>arum.kusumawardhany@elektro.pnj.ac.id</t>
  </si>
  <si>
    <t>DBP02000258</t>
  </si>
  <si>
    <t>FEBRINURANDY RAMADHANI</t>
  </si>
  <si>
    <t>ramadhanifebrinurandy@gmail.com</t>
  </si>
  <si>
    <t>DBP02000259</t>
  </si>
  <si>
    <t>AGHISNA INDAH MAWARNI</t>
  </si>
  <si>
    <t>NGANJUK</t>
  </si>
  <si>
    <t>aghisnaim9@gmail.com</t>
  </si>
  <si>
    <t>Seni Pertunjukan</t>
  </si>
  <si>
    <t>Penyajian Musik</t>
  </si>
  <si>
    <t>DBP02000260</t>
  </si>
  <si>
    <t>MUHAMMAD ERLAND SATRIA KISANGGANI</t>
  </si>
  <si>
    <t>erlandsatria106@gmail.com</t>
  </si>
  <si>
    <t>DBP02000261</t>
  </si>
  <si>
    <t>PUTERI NAURA JINGGA</t>
  </si>
  <si>
    <t>ptrnaurajingga@gmail.com</t>
  </si>
  <si>
    <t>Arsitektur</t>
  </si>
  <si>
    <t>DBP02000262</t>
  </si>
  <si>
    <t>SEFDY</t>
  </si>
  <si>
    <t>METRO</t>
  </si>
  <si>
    <t>sefdy.then@gmail.com</t>
  </si>
  <si>
    <t>DBP02000263</t>
  </si>
  <si>
    <t>MUHAMMAD HASBI ASY SYUKRI</t>
  </si>
  <si>
    <t xml:space="preserve">BUKITTINGGI </t>
  </si>
  <si>
    <t>hasbisyukri123@gmail.com</t>
  </si>
  <si>
    <t>DBP02000264</t>
  </si>
  <si>
    <t>ANGELA NATHANIA</t>
  </si>
  <si>
    <t>angelaanathania@gmail.com</t>
  </si>
  <si>
    <t>DBP02000265</t>
  </si>
  <si>
    <t>PUTRA RONAILDO ADI NUGRAHA</t>
  </si>
  <si>
    <t>aldoronaildo@gmail.com</t>
  </si>
  <si>
    <t>Teknik Telekomunikasi</t>
  </si>
  <si>
    <t>DBP02000266</t>
  </si>
  <si>
    <t>ERSITA RAHAJENG WIBOWO</t>
  </si>
  <si>
    <t>ersitarahajeng@gmail.com</t>
  </si>
  <si>
    <t>DBP02000267</t>
  </si>
  <si>
    <t>PUTRI DIAH ESTHININGRUM</t>
  </si>
  <si>
    <t>putridiahesthiningrum@gmail.com</t>
  </si>
  <si>
    <t>DBP02000268</t>
  </si>
  <si>
    <t>RAISHA NAJMA AMALIA</t>
  </si>
  <si>
    <t>raishanajmaa@gmail.com</t>
  </si>
  <si>
    <t>Sains dan Teknologi</t>
  </si>
  <si>
    <t>DBP02000269</t>
  </si>
  <si>
    <t>MARIA WAHYU DANIAR</t>
  </si>
  <si>
    <t>mariawahyudaniar@gmail.com</t>
  </si>
  <si>
    <t>Kimia</t>
  </si>
  <si>
    <t>DBP02000270</t>
  </si>
  <si>
    <t>NATASHA ELBERTA</t>
  </si>
  <si>
    <t>natasha.elberta@gmail.com</t>
  </si>
  <si>
    <t>DBP02000271</t>
  </si>
  <si>
    <t>ROBBY ANGGA APRIYANTO</t>
  </si>
  <si>
    <t>r.anggaapriyanto@gmail.com</t>
  </si>
  <si>
    <t>Desain Produk Industri</t>
  </si>
  <si>
    <t>DBP02000272</t>
  </si>
  <si>
    <t>MUJIBURRAHMAN</t>
  </si>
  <si>
    <t>LABANGKA</t>
  </si>
  <si>
    <t>99mujiburrahman@gmail.com</t>
  </si>
  <si>
    <t>Administrasi Publik</t>
  </si>
  <si>
    <t>DBP02000273</t>
  </si>
  <si>
    <t>EMANUELLA NINTA TOREH</t>
  </si>
  <si>
    <t>AMBON</t>
  </si>
  <si>
    <t>ella.toreh24@gmail.com</t>
  </si>
  <si>
    <t>Ilmu Hubungan Internasional</t>
  </si>
  <si>
    <t>DBP02000274</t>
  </si>
  <si>
    <t>HANA NABILA</t>
  </si>
  <si>
    <t>hanabilamadjid@gmail.com</t>
  </si>
  <si>
    <t>DBP02000275</t>
  </si>
  <si>
    <t>NUR UTAMI MAULI</t>
  </si>
  <si>
    <t>tami.mauli@gmail.com</t>
  </si>
  <si>
    <t>DBP02000276</t>
  </si>
  <si>
    <t>MUHAMMAD FAHRUL RAHMAN ALIM</t>
  </si>
  <si>
    <t>muhfahrulra@gmail.com</t>
  </si>
  <si>
    <t>DBP02000277</t>
  </si>
  <si>
    <t>MELA ANGGRAENI SEHLUJENG</t>
  </si>
  <si>
    <t>anggraenismela@gmail.com</t>
  </si>
  <si>
    <t>DBP02000278</t>
  </si>
  <si>
    <t>INTAN LUCKY RAHAYU</t>
  </si>
  <si>
    <t>intanluckyrahayu63@gmail.com</t>
  </si>
  <si>
    <t>DBP02000279</t>
  </si>
  <si>
    <t>NEWMEN TICHA</t>
  </si>
  <si>
    <t>ticha.octaviani@gmail.com</t>
  </si>
  <si>
    <t>DBP02000280</t>
  </si>
  <si>
    <t>ELISABETH DESY B</t>
  </si>
  <si>
    <t>elisabethdesy13@gmail.com</t>
  </si>
  <si>
    <t>DBP02000281</t>
  </si>
  <si>
    <t>ELFINA AINNUR RACHMA</t>
  </si>
  <si>
    <t>elfrachma@gmail.com</t>
  </si>
  <si>
    <t>DBP02000282</t>
  </si>
  <si>
    <t>DEDE SURYA LESMANA</t>
  </si>
  <si>
    <t>LEBAK</t>
  </si>
  <si>
    <t>dedesuryalesmanaskr@gmail.com</t>
  </si>
  <si>
    <t>DBP02000283</t>
  </si>
  <si>
    <t>DIMAS HAFIZ MUSLIM</t>
  </si>
  <si>
    <t>DEPOK</t>
  </si>
  <si>
    <t>dimashafiz21@gmail.com</t>
  </si>
  <si>
    <t>DBP02000284</t>
  </si>
  <si>
    <t>DANIEL SOCHINAFAO CHRISTIAN</t>
  </si>
  <si>
    <t>danielsochi7@gmail.com</t>
  </si>
  <si>
    <t>DBP02000285</t>
  </si>
  <si>
    <t>RESKI AMARTA</t>
  </si>
  <si>
    <t>reskiamarta23@gmail.com</t>
  </si>
  <si>
    <t>DBP02000286</t>
  </si>
  <si>
    <t>MUHAMMAD IHZA MUZAKKI</t>
  </si>
  <si>
    <t>muhimuzakki@gmail.com</t>
  </si>
  <si>
    <t>Fakultas Ilmu Komunikasi</t>
  </si>
  <si>
    <t>Manajemen Komunikasi</t>
  </si>
  <si>
    <t>DBP02000287</t>
  </si>
  <si>
    <t>CHITRA HUSNABILQIS</t>
  </si>
  <si>
    <t>chitra.husnabilqis@gmail.com</t>
  </si>
  <si>
    <t>DBP02000288</t>
  </si>
  <si>
    <t>DAFFAQ SYAFIQ PASHA</t>
  </si>
  <si>
    <t>daffaqmemo@gmail.com</t>
  </si>
  <si>
    <t>Informatika</t>
  </si>
  <si>
    <t>DBP02000289</t>
  </si>
  <si>
    <t>MELVIANA VIOLLETA KIMUR</t>
  </si>
  <si>
    <t>melvianaviolletakimur@gmail.com</t>
  </si>
  <si>
    <t>DBP02000290</t>
  </si>
  <si>
    <t>STELLA NOSTRA GALUH AYUDHAWARA</t>
  </si>
  <si>
    <t>ayudhawaranostra@gmail.com</t>
  </si>
  <si>
    <t>DBP02000291</t>
  </si>
  <si>
    <t>NUR'AINI MINATI ARAFIANY</t>
  </si>
  <si>
    <t>minati.nuraini@gmail.com</t>
  </si>
  <si>
    <t>DBP02000292</t>
  </si>
  <si>
    <t>SALMA TALITHA SANI</t>
  </si>
  <si>
    <t>TEMANGGUNG</t>
  </si>
  <si>
    <t>salmatalithas@gmail.com</t>
  </si>
  <si>
    <t>DBP02000293</t>
  </si>
  <si>
    <t>NAJLA RASIKHA PUTRI HARZA</t>
  </si>
  <si>
    <t>BATAM</t>
  </si>
  <si>
    <t>najlaharza16@gmail.com</t>
  </si>
  <si>
    <t>DBP02000294</t>
  </si>
  <si>
    <t>AIDIL FACHREZA</t>
  </si>
  <si>
    <t>fachrezaidil@gmail.com</t>
  </si>
  <si>
    <t>DBP02000295</t>
  </si>
  <si>
    <t>NABILA WIDYA PUTRI</t>
  </si>
  <si>
    <t>MATARAM</t>
  </si>
  <si>
    <t>nabilawdyputri@gmail.com</t>
  </si>
  <si>
    <t>DBP02000296</t>
  </si>
  <si>
    <t>MARKUS DWIANTO</t>
  </si>
  <si>
    <t>dwianto110@gmail.com</t>
  </si>
  <si>
    <t xml:space="preserve">Ilmu Komunikasi </t>
  </si>
  <si>
    <t>DBP02000297</t>
  </si>
  <si>
    <t>TITANIA ALMA MEINI</t>
  </si>
  <si>
    <t>titanialmy@gmail.com</t>
  </si>
  <si>
    <t>DBP02000298</t>
  </si>
  <si>
    <t>3216095605000004</t>
  </si>
  <si>
    <t>claritagultom@gmail.com</t>
  </si>
  <si>
    <t>Administrasi Pemerintahan</t>
  </si>
  <si>
    <t>DBP02000299</t>
  </si>
  <si>
    <t>PUTU DANTA MAS YOGISWARA</t>
  </si>
  <si>
    <t>putudantamy@gmail.com</t>
  </si>
  <si>
    <t>DBP02000300</t>
  </si>
  <si>
    <t>MUHAMMAD ARIFIN NASUTION</t>
  </si>
  <si>
    <t>SINDAR RAYA</t>
  </si>
  <si>
    <t>arifinnasution.ui@gmail.com</t>
  </si>
  <si>
    <t>Ekonomi Syariah</t>
  </si>
  <si>
    <t>DBP02000301</t>
  </si>
  <si>
    <t>DAVID JONATHAN GLENEAGLES SIAHAAN</t>
  </si>
  <si>
    <t>siahaandavid0@gmail.com</t>
  </si>
  <si>
    <t>DBP02000302</t>
  </si>
  <si>
    <t>REGINA FORTUNATA SALIM</t>
  </si>
  <si>
    <t>reginafortunatasalim777@gmail.com</t>
  </si>
  <si>
    <t>UNIVERSITAS KATOLIK ATMA JAYA JAKARTA</t>
  </si>
  <si>
    <t>DBP02000303</t>
  </si>
  <si>
    <t>FIRDA AINUN NABILA</t>
  </si>
  <si>
    <t>fainunnabila17@gmail.com</t>
  </si>
  <si>
    <t>DBP02000304</t>
  </si>
  <si>
    <t>MICHAEL LUCKY ANANDA</t>
  </si>
  <si>
    <t>SURAKARTA</t>
  </si>
  <si>
    <t>michaellucky719@gmail.com</t>
  </si>
  <si>
    <t>DBP02000305</t>
  </si>
  <si>
    <t>RAIHANSYAH AKBAR MAULANA</t>
  </si>
  <si>
    <t>raihansyah210101@gmail.com</t>
  </si>
  <si>
    <t>VOKASI</t>
  </si>
  <si>
    <t>Teknik Elektronika</t>
  </si>
  <si>
    <t>DBP02000306</t>
  </si>
  <si>
    <t>ILHAM RIFKY ROMADLONA</t>
  </si>
  <si>
    <t>ilhamrr246@gmail.com</t>
  </si>
  <si>
    <t>INSTITUT AGAMA ISLAM NEGERI KUDUS</t>
  </si>
  <si>
    <t>Ekonomi dan Bisnis Islam</t>
  </si>
  <si>
    <t>DBP02000307</t>
  </si>
  <si>
    <t>RUTH PUTRYANI SARAGIH</t>
  </si>
  <si>
    <t>ruthp.saragih@gmail.com</t>
  </si>
  <si>
    <t>Jurnalistik</t>
  </si>
  <si>
    <t>DBP02000308</t>
  </si>
  <si>
    <t>NISA HAERUNNISA</t>
  </si>
  <si>
    <t>fasyanisa05@gmail.com</t>
  </si>
  <si>
    <t>UNIVERSITAS PASUNDAN</t>
  </si>
  <si>
    <t>DBP02000309</t>
  </si>
  <si>
    <t>HERWINA WAHYUTAMI RAHAYU</t>
  </si>
  <si>
    <t>herwinawr0101@gmail.com</t>
  </si>
  <si>
    <t>DBP02000310</t>
  </si>
  <si>
    <t>NATASHA MARISKA</t>
  </si>
  <si>
    <t>natashamariska1912@gmail.com</t>
  </si>
  <si>
    <t>DBP02000311</t>
  </si>
  <si>
    <t>IYORI MELIS ANGEL</t>
  </si>
  <si>
    <t>iyorimelis@gmail.com</t>
  </si>
  <si>
    <t>Teknologi Industri</t>
  </si>
  <si>
    <t>DBP02000312</t>
  </si>
  <si>
    <t>MUSTOFA</t>
  </si>
  <si>
    <t>mustofa81@guru.smp.belajar.id</t>
  </si>
  <si>
    <t>23 (2007/2008)</t>
  </si>
  <si>
    <t>Tarbiyah</t>
  </si>
  <si>
    <t>PENDIDIKAN AGAMA ISLAM</t>
  </si>
  <si>
    <t>DBP02000313</t>
  </si>
  <si>
    <t>IMAM NASICHUDDIN</t>
  </si>
  <si>
    <t>imamnasichuddin42@guru.sd.belajar.id</t>
  </si>
  <si>
    <t>Pendidikan Agama Islam</t>
  </si>
  <si>
    <t>DBP02000314</t>
  </si>
  <si>
    <t>YUSTINUS ALEXANDER AGUNG YUWONO</t>
  </si>
  <si>
    <t>canises@gmail.com</t>
  </si>
  <si>
    <t>DBP02000315</t>
  </si>
  <si>
    <t xml:space="preserve">KARNO </t>
  </si>
  <si>
    <t>karno.kelik@gmail.com</t>
  </si>
  <si>
    <t xml:space="preserve">Sistem informasi </t>
  </si>
  <si>
    <t>DBP02000316</t>
  </si>
  <si>
    <t>CHOIRUL HUDA</t>
  </si>
  <si>
    <t>choirjmy07@gmail.com</t>
  </si>
  <si>
    <t>DBP02000317</t>
  </si>
  <si>
    <t>DITA SEPTIAN NINGRUM</t>
  </si>
  <si>
    <t>ditaseptian08@gmail.com</t>
  </si>
  <si>
    <t>DBP02000318</t>
  </si>
  <si>
    <t>AZZAHRA NURMALIZA PUTRI</t>
  </si>
  <si>
    <t>21e10186@student.unika.ac.id</t>
  </si>
  <si>
    <t>DBP02000319</t>
  </si>
  <si>
    <t xml:space="preserve">REFI MEILIA ARYANI </t>
  </si>
  <si>
    <t xml:space="preserve">MAGELANG </t>
  </si>
  <si>
    <t>refimeiliaaryani55@gmail.com</t>
  </si>
  <si>
    <t>DBP02000320</t>
  </si>
  <si>
    <t>NADIYANI ZAHRA</t>
  </si>
  <si>
    <t>nadiyanizhr@gmail.com</t>
  </si>
  <si>
    <t>DBP02000321</t>
  </si>
  <si>
    <t>MARTIN ANGGIAT MARANATA MANURUNG</t>
  </si>
  <si>
    <t>martinmanurung13@gmail.com</t>
  </si>
  <si>
    <t>DBP02000322</t>
  </si>
  <si>
    <t>CITRA DEWI RACHMAWATI IRAWAN</t>
  </si>
  <si>
    <t>irawancitradewi@gmail.com</t>
  </si>
  <si>
    <t>Pendidikan Guru Sekolah Dasar</t>
  </si>
  <si>
    <t>DBP02000323</t>
  </si>
  <si>
    <t>AHMAD SOPIAN</t>
  </si>
  <si>
    <t>KAB. BEKASI</t>
  </si>
  <si>
    <t>ktp00002@gmail.com</t>
  </si>
  <si>
    <t>Ushuluddin</t>
  </si>
  <si>
    <t>Tafsir dan Hadis</t>
  </si>
  <si>
    <t>DBP02000324</t>
  </si>
  <si>
    <t>FAISAL ABDUL MUHSIN</t>
  </si>
  <si>
    <t>faisalabdulmuhsin@gmail.com</t>
  </si>
  <si>
    <t>DBP02000325</t>
  </si>
  <si>
    <t>JIHAN SANIYYAH OCTAVIA</t>
  </si>
  <si>
    <t>CURUP</t>
  </si>
  <si>
    <t>jihanoctavia1136@gmail.com</t>
  </si>
  <si>
    <t>DBP02000326</t>
  </si>
  <si>
    <t>NANDA SELVIA</t>
  </si>
  <si>
    <t>LAMPUNG</t>
  </si>
  <si>
    <t>nandaslv2@gmail.com</t>
  </si>
  <si>
    <t>DBP02000327</t>
  </si>
  <si>
    <t>RIKA WAHYUNING TYAS</t>
  </si>
  <si>
    <t>DEMAK, 02 SEPTEMBER 2024</t>
  </si>
  <si>
    <t>rikatiyass21@gmail.com</t>
  </si>
  <si>
    <t>DBP02000328</t>
  </si>
  <si>
    <t>HESTI AMANDA</t>
  </si>
  <si>
    <t>KOREIHA</t>
  </si>
  <si>
    <t>realhestiamanda@gmail.com</t>
  </si>
  <si>
    <t>UNIVERSITAS HALU OLEO</t>
  </si>
  <si>
    <t>DBP02000329</t>
  </si>
  <si>
    <t>I PUTU ANGGA ARDI WILYANDIKA</t>
  </si>
  <si>
    <t>GILIMANUK</t>
  </si>
  <si>
    <t>anggaardixx@gmail.com</t>
  </si>
  <si>
    <t>DBP02000330</t>
  </si>
  <si>
    <t>RANGGA DWI SAPUTRA</t>
  </si>
  <si>
    <t>ranggadwi16@gmail.com</t>
  </si>
  <si>
    <t>DBP02000331</t>
  </si>
  <si>
    <t>AHMAD REIHAN ALAVI</t>
  </si>
  <si>
    <t>reihanalavi@gmail.com</t>
  </si>
  <si>
    <t>Ilmu Komputer/Informatika</t>
  </si>
  <si>
    <t>DBP02000332</t>
  </si>
  <si>
    <t>FADHIL LAWHUL MAHFUZ</t>
  </si>
  <si>
    <t>MUARA SABAK</t>
  </si>
  <si>
    <t>fadhlijambi11@gmail.com</t>
  </si>
  <si>
    <t>DBP02000333</t>
  </si>
  <si>
    <t xml:space="preserve">MUHAMMAD HAIKAL </t>
  </si>
  <si>
    <t>LANGSA, ACEH</t>
  </si>
  <si>
    <t>mmhaikal96@gmail.com</t>
  </si>
  <si>
    <t xml:space="preserve">Ilmu Hukum </t>
  </si>
  <si>
    <t>DBP02000334</t>
  </si>
  <si>
    <t>YASMIN NUR FADHILA HUTAHAEAN</t>
  </si>
  <si>
    <t>PROBOLINGGO</t>
  </si>
  <si>
    <t>yasminfadhilaa@gmail.com</t>
  </si>
  <si>
    <t>Teknik Biomedik</t>
  </si>
  <si>
    <t>DBP02000335</t>
  </si>
  <si>
    <t>FIEKA FAIDUN NAJIH</t>
  </si>
  <si>
    <t>fiekafaidunn@gmail.com</t>
  </si>
  <si>
    <t>DBP02000336</t>
  </si>
  <si>
    <t>ELLENA APRILIA</t>
  </si>
  <si>
    <t>aprilia.ellena@gmail.com</t>
  </si>
  <si>
    <t>Teknologi Pertanian</t>
  </si>
  <si>
    <t>DBP02000337</t>
  </si>
  <si>
    <t xml:space="preserve">RAFIF DIMAS PRATAMA </t>
  </si>
  <si>
    <t>BANYUMAS</t>
  </si>
  <si>
    <t>rafifdimas1803@gmail.com</t>
  </si>
  <si>
    <t>DBP02000338</t>
  </si>
  <si>
    <t>DANNIA FIRSTIA</t>
  </si>
  <si>
    <t>danniafirstiaa@gmail.com</t>
  </si>
  <si>
    <t>DBP02000339</t>
  </si>
  <si>
    <t>ANDI MOH RIDHO PETTALOLO</t>
  </si>
  <si>
    <t>mohr0401@gmail.com</t>
  </si>
  <si>
    <t>DBP02000340</t>
  </si>
  <si>
    <t>AURELIA IRENE BUDIONO</t>
  </si>
  <si>
    <t>a.irenebudiono@gmail.com</t>
  </si>
  <si>
    <t>DBP02000341</t>
  </si>
  <si>
    <t>BALQIS SRIKANDI WIRYAWAN</t>
  </si>
  <si>
    <t>balqissrikandiwiryawan@gmail.com</t>
  </si>
  <si>
    <t>Manajemen Kewirausahaan</t>
  </si>
  <si>
    <t>DBP02000342</t>
  </si>
  <si>
    <t>I'IEK ROHZANA</t>
  </si>
  <si>
    <t>iikrohzana@gmail.com</t>
  </si>
  <si>
    <t>DBP02000343</t>
  </si>
  <si>
    <t xml:space="preserve">THERESIA EVY LONITA </t>
  </si>
  <si>
    <t>gratitude2501@gmail.com</t>
  </si>
  <si>
    <t>DBP02000344</t>
  </si>
  <si>
    <t>ZALDY MALIK IBRAHIM</t>
  </si>
  <si>
    <t>zaldymalikk@gmail.com</t>
  </si>
  <si>
    <t>DBP02000345</t>
  </si>
  <si>
    <t xml:space="preserve">RIZQI MAGHFUR </t>
  </si>
  <si>
    <t>rizqimaghf2111@gmail.com</t>
  </si>
  <si>
    <t>Ilmu Pemerintahan</t>
  </si>
  <si>
    <t>DBP02000346</t>
  </si>
  <si>
    <t>MUHAMMAD IQBAL</t>
  </si>
  <si>
    <t>bomziemuhiq@gmail.com</t>
  </si>
  <si>
    <t>Fakultad Seni Rupa dan Desain</t>
  </si>
  <si>
    <t>Desain Produk</t>
  </si>
  <si>
    <t>DBP02000347</t>
  </si>
  <si>
    <t>MUTIARA ANGGIA UTAMI</t>
  </si>
  <si>
    <t>mutiaranggiau@gmail.com</t>
  </si>
  <si>
    <t>DBP02000348</t>
  </si>
  <si>
    <t>PUSPA AYU FARANISA</t>
  </si>
  <si>
    <t>puspayufaranisa@gmail.com</t>
  </si>
  <si>
    <t>DBP02000349</t>
  </si>
  <si>
    <t>DELLA AMELIA</t>
  </si>
  <si>
    <t>PASURUAN</t>
  </si>
  <si>
    <t>ameliadella0530@gmail.com</t>
  </si>
  <si>
    <t>Akuntansi Manajemen</t>
  </si>
  <si>
    <t>DBP02000350</t>
  </si>
  <si>
    <t>NATHANIA ADINATA PUTRI</t>
  </si>
  <si>
    <t>SLEMAN</t>
  </si>
  <si>
    <t>nathaniaadinata1@gmail.com</t>
  </si>
  <si>
    <t>S1 Manajemen</t>
  </si>
  <si>
    <t>DBP02000351</t>
  </si>
  <si>
    <t xml:space="preserve">LIORA CHRISSA PATTIASINA </t>
  </si>
  <si>
    <t xml:space="preserve">JAYAPURA </t>
  </si>
  <si>
    <t>liorachrissapattiasina@gmail.com</t>
  </si>
  <si>
    <t>UNIVERSITAS PATTIMURA</t>
  </si>
  <si>
    <t xml:space="preserve">Teknik Geofisika </t>
  </si>
  <si>
    <t>DBP02000352</t>
  </si>
  <si>
    <t>MIFTAHUL JANNAH PUTRI MAULIDA</t>
  </si>
  <si>
    <t>mitamaulidamita15@gmail.com</t>
  </si>
  <si>
    <t>Perbankan Syariah</t>
  </si>
  <si>
    <t>DBP02000353</t>
  </si>
  <si>
    <t>AGUNG SELAMAT GINTING</t>
  </si>
  <si>
    <t>KABANJAHE</t>
  </si>
  <si>
    <t>agungselamat338@gmail.com</t>
  </si>
  <si>
    <t>DBP02000354</t>
  </si>
  <si>
    <t xml:space="preserve">SUCI NURZANNAH EFENDI </t>
  </si>
  <si>
    <t xml:space="preserve">CIAMIS </t>
  </si>
  <si>
    <t>sucine97@gmail.com</t>
  </si>
  <si>
    <t>DBP02000355</t>
  </si>
  <si>
    <t>RIO RAMADANY</t>
  </si>
  <si>
    <t>JAILOLO</t>
  </si>
  <si>
    <t>rioramadhant21@gmail.com</t>
  </si>
  <si>
    <t>DBP02000356</t>
  </si>
  <si>
    <t>SYAHRUL ALIEFI HIDAYAT</t>
  </si>
  <si>
    <t>SAMPANG</t>
  </si>
  <si>
    <t>syahrul.spensa@gmail.com</t>
  </si>
  <si>
    <t>DBP02000357</t>
  </si>
  <si>
    <t>ALDWYANA RACHMANINGSIH</t>
  </si>
  <si>
    <t>arachmaningsih@gmail.com</t>
  </si>
  <si>
    <t>DBP02000358</t>
  </si>
  <si>
    <t>KAYLA PUTRI VANIA LAOWO</t>
  </si>
  <si>
    <t>kaylavania@student.ub.ac.id</t>
  </si>
  <si>
    <t>Kedokteran Gigi</t>
  </si>
  <si>
    <t>Pendidikan Dokter Gigi</t>
  </si>
  <si>
    <t>DBP02000359</t>
  </si>
  <si>
    <t>GHALIB BAHARUDDIN</t>
  </si>
  <si>
    <t>ghalibbaharuddin10@gmail.com</t>
  </si>
  <si>
    <t>DBP02000360</t>
  </si>
  <si>
    <t>DWINANTA SIPAYUNG</t>
  </si>
  <si>
    <t>SARIBUDOLOK</t>
  </si>
  <si>
    <t>dwinantasipayung66@gmail.com</t>
  </si>
  <si>
    <t>DBP02000361</t>
  </si>
  <si>
    <t>VANESA YANIARTA</t>
  </si>
  <si>
    <t>vanessayaniarta@gmail.com</t>
  </si>
  <si>
    <t>DBP02000362</t>
  </si>
  <si>
    <t>FAZILA SITI HUMAYRA BISPO</t>
  </si>
  <si>
    <t>izafazila@apps.ipb.ac.id</t>
  </si>
  <si>
    <t>Sekolah Bisnis</t>
  </si>
  <si>
    <t>Bisnis</t>
  </si>
  <si>
    <t>DBP02000363</t>
  </si>
  <si>
    <t>CINTIA GITA PRAMESI</t>
  </si>
  <si>
    <t>cintiagita0@gmail.com</t>
  </si>
  <si>
    <t>DBP02000364</t>
  </si>
  <si>
    <t>IKHWATI KHUSNA SABILA</t>
  </si>
  <si>
    <t>TULUNGAGUNG</t>
  </si>
  <si>
    <t>ikhwatisabila@gmail.com</t>
  </si>
  <si>
    <t>Dakwah dan Komunikasi Islam</t>
  </si>
  <si>
    <t>Ilmu Kesejahteraan Sosial</t>
  </si>
  <si>
    <t>DBP02000365</t>
  </si>
  <si>
    <t>DEVINA</t>
  </si>
  <si>
    <t>devinasaputra23@gmail.com</t>
  </si>
  <si>
    <t>DBP02000366</t>
  </si>
  <si>
    <t>I GST. NGR. PAUNDRA SASTRA DWIPAYANA</t>
  </si>
  <si>
    <t>sastrabusiness@gmail.com</t>
  </si>
  <si>
    <t>DBP02000367</t>
  </si>
  <si>
    <t>MUTHI'AH RESTY</t>
  </si>
  <si>
    <t>TARAKAN</t>
  </si>
  <si>
    <t>muthiahresty15@gmail.com</t>
  </si>
  <si>
    <t>UNIVERSITAS ISLAM MALANG</t>
  </si>
  <si>
    <t>Pendidikan dokter</t>
  </si>
  <si>
    <t>DBP02000368</t>
  </si>
  <si>
    <t>GUSTIAN ARYASATYA</t>
  </si>
  <si>
    <t>gustianarya12@gmail.com</t>
  </si>
  <si>
    <t>DBP02000369</t>
  </si>
  <si>
    <t>MUH. FARHAN</t>
  </si>
  <si>
    <t>CIMPU</t>
  </si>
  <si>
    <t>farhanmuh140@gmail.com</t>
  </si>
  <si>
    <t>Ekologi Manusia</t>
  </si>
  <si>
    <t>Komunikasi dan Pengembangan Masyarakat</t>
  </si>
  <si>
    <t>DBP02000370</t>
  </si>
  <si>
    <t>ROSINDA SIMANULLANG</t>
  </si>
  <si>
    <t>SIMANGULAMPE</t>
  </si>
  <si>
    <t>manullangrosinda@gmail.com</t>
  </si>
  <si>
    <t>Ilmu Budaya</t>
  </si>
  <si>
    <t>Sastra Indonesia</t>
  </si>
  <si>
    <t>DBP02000371</t>
  </si>
  <si>
    <t>IBROHIM AZAMTA</t>
  </si>
  <si>
    <t>ibrohimazamta.9a@gmail.com</t>
  </si>
  <si>
    <t>DBP02000372</t>
  </si>
  <si>
    <t>VENTY INDAH UTAMI</t>
  </si>
  <si>
    <t>ventyindahutami@gmail.com</t>
  </si>
  <si>
    <t>DBP02000373</t>
  </si>
  <si>
    <t>GHAITSA ZAHIRA ARDELIA P</t>
  </si>
  <si>
    <t>ghaitsa.zahira.gz@gmail.com</t>
  </si>
  <si>
    <t>DBP02000374</t>
  </si>
  <si>
    <t>HARQIE ITTABI FISVIYAN</t>
  </si>
  <si>
    <t>KUPANG, NTT</t>
  </si>
  <si>
    <t>fisviyanharqie@gmail.com</t>
  </si>
  <si>
    <t>Ilmu Pendidikan</t>
  </si>
  <si>
    <t>DBP02000375</t>
  </si>
  <si>
    <t>AHMAD ARIF HIDAYATULLAH</t>
  </si>
  <si>
    <t>ahmadariif6@gmail.com</t>
  </si>
  <si>
    <t>Ilmu Pendidikan dan Psikologi</t>
  </si>
  <si>
    <t>DBP02000376</t>
  </si>
  <si>
    <t>NOVENA SHAFIRA ANGELICA</t>
  </si>
  <si>
    <t>novenashafira@gmail.com</t>
  </si>
  <si>
    <t>DBP02000377</t>
  </si>
  <si>
    <t>KUKUH SETYO PRAKOSO</t>
  </si>
  <si>
    <t>kukuhprakoso64@gmail.com</t>
  </si>
  <si>
    <t>UNIVERSITAS MUHAMMADIYAH JEMBER</t>
  </si>
  <si>
    <t>DBP02000378</t>
  </si>
  <si>
    <t>RIZQI MULYANTARA HS</t>
  </si>
  <si>
    <t>BREBES</t>
  </si>
  <si>
    <t>rizqimulyantara@gmail.com</t>
  </si>
  <si>
    <t>Pendidikan Teknik Informatika dan Komputer</t>
  </si>
  <si>
    <t>DBP02000379</t>
  </si>
  <si>
    <t>MEIRA PRATIWI</t>
  </si>
  <si>
    <t>meyrapratiwi@gmail.com</t>
  </si>
  <si>
    <t>Bahasa, seni, dan budaya</t>
  </si>
  <si>
    <t>Pendidikan bahasa jerman</t>
  </si>
  <si>
    <t>DBP02000380</t>
  </si>
  <si>
    <t>PRABU FARREL RAKHA</t>
  </si>
  <si>
    <t>CILACAP</t>
  </si>
  <si>
    <t>prabufarrel10@gmail.com</t>
  </si>
  <si>
    <t>DBP02000381</t>
  </si>
  <si>
    <t>YOLANDA PASTORIA KONO</t>
  </si>
  <si>
    <t>yolandakono@gmail.com</t>
  </si>
  <si>
    <t>DBP02000382</t>
  </si>
  <si>
    <t>ANDRIAN BRAHMA PUTRA</t>
  </si>
  <si>
    <t>BATU</t>
  </si>
  <si>
    <t>andrian.edge@gmail.com</t>
  </si>
  <si>
    <t>DBP02000383</t>
  </si>
  <si>
    <t>AULIA FAHMI MAULANA</t>
  </si>
  <si>
    <t>aulia.fahmimaulana@gmail.com</t>
  </si>
  <si>
    <t>DBP02000384</t>
  </si>
  <si>
    <t xml:space="preserve">FIKRI MOHAMMAD ILYASA </t>
  </si>
  <si>
    <t>ilyasa.fikri@gmail.com</t>
  </si>
  <si>
    <t>DBP02000385</t>
  </si>
  <si>
    <t>MARTINA ENY KRISTANTI</t>
  </si>
  <si>
    <t>martina.kristanti@gmail.com</t>
  </si>
  <si>
    <t>DBP02000386</t>
  </si>
  <si>
    <t>AYU TARANTIKA INDRESWARI</t>
  </si>
  <si>
    <t>TRENGGALEK</t>
  </si>
  <si>
    <t>ayutarantika@gmail.com</t>
  </si>
  <si>
    <t>DBP02000387</t>
  </si>
  <si>
    <t>ADINDA MARCELL YUNITA</t>
  </si>
  <si>
    <t>adindamarcell19@gmail.com</t>
  </si>
  <si>
    <t>DBP02000388</t>
  </si>
  <si>
    <t>KEYKO ARTAZENIA MANIHURUK</t>
  </si>
  <si>
    <t>keykoartz22@gmail.com</t>
  </si>
  <si>
    <t>DBP02000389</t>
  </si>
  <si>
    <t>MOH. TAKDIR</t>
  </si>
  <si>
    <t>mtkdr.31@gmail.com</t>
  </si>
  <si>
    <t>Farmasi</t>
  </si>
  <si>
    <t>DBP02000390</t>
  </si>
  <si>
    <t>INDAH HASANAH PUTRI MUSLIMAH</t>
  </si>
  <si>
    <t>SILUNGKANG</t>
  </si>
  <si>
    <t>indahscollegelife@gmail.com</t>
  </si>
  <si>
    <t>DBP02000391</t>
  </si>
  <si>
    <t>SAMUEL THEODORE, LIE</t>
  </si>
  <si>
    <t>samueltheo2004@gmail.com</t>
  </si>
  <si>
    <t>Sains dan Matematika</t>
  </si>
  <si>
    <t>DBP02000392</t>
  </si>
  <si>
    <t>NURUL FAROH ALMUNA</t>
  </si>
  <si>
    <t>nurulfaalmn@gmail.com</t>
  </si>
  <si>
    <t>UNIVERSITAS NAHDHATUL ULAMA</t>
  </si>
  <si>
    <t>DBP02000393</t>
  </si>
  <si>
    <t>SYALOMITA T. SUMAJOW</t>
  </si>
  <si>
    <t>MANADO</t>
  </si>
  <si>
    <t>syalomvenas@gmail.com</t>
  </si>
  <si>
    <t>DBP02000394</t>
  </si>
  <si>
    <t>RISKA SUHARYANI</t>
  </si>
  <si>
    <t>BARABAI</t>
  </si>
  <si>
    <t>riskasuharyani@gmail.com</t>
  </si>
  <si>
    <t>Hukum Perdata</t>
  </si>
  <si>
    <t>DBP02000395</t>
  </si>
  <si>
    <t>NURUL ISKANDAR</t>
  </si>
  <si>
    <t>nurul.iskandd@gmail.com</t>
  </si>
  <si>
    <t>DBP02000396</t>
  </si>
  <si>
    <t>NISRIINAA ADELIA MARITZA</t>
  </si>
  <si>
    <t>nisriinaaadelia1712@gmail.com</t>
  </si>
  <si>
    <t>Sekolah Vokasi</t>
  </si>
  <si>
    <t>Manajemen dan Administrasi Logistik</t>
  </si>
  <si>
    <t>DBP02000397</t>
  </si>
  <si>
    <t>JEFRI DELIANDRI</t>
  </si>
  <si>
    <t>jdeliandri@gmail.com</t>
  </si>
  <si>
    <t>DBP02000398</t>
  </si>
  <si>
    <t xml:space="preserve">MAHARDIKA FRITYATAMA </t>
  </si>
  <si>
    <t xml:space="preserve">SEMARANG </t>
  </si>
  <si>
    <t>mahardikaf@gmail.com</t>
  </si>
  <si>
    <t xml:space="preserve">Pendidikan Dokter </t>
  </si>
  <si>
    <t>DBP02000399</t>
  </si>
  <si>
    <t>TALITHA BERTHA ICHTAPA</t>
  </si>
  <si>
    <t>talithabertha@gmail.com</t>
  </si>
  <si>
    <t>DBP02000400</t>
  </si>
  <si>
    <t>SELLA ANJANI</t>
  </si>
  <si>
    <t>sellaa073@gmail.com</t>
  </si>
  <si>
    <t xml:space="preserve">. </t>
  </si>
  <si>
    <t>Manajemen Bisnis</t>
  </si>
  <si>
    <t>DBP02000401</t>
  </si>
  <si>
    <t>RAFIDA SALMA</t>
  </si>
  <si>
    <t>rafidasalma0802@gmail.com</t>
  </si>
  <si>
    <t>DBP02000402</t>
  </si>
  <si>
    <t>JUMADIL AHMAD SAFI’I</t>
  </si>
  <si>
    <t>jumadilahmadsafi21@gmail.com</t>
  </si>
  <si>
    <t>DBP02000403</t>
  </si>
  <si>
    <t>VICKY ZAYNUL FIRMANSYAH</t>
  </si>
  <si>
    <t>BLITAR</t>
  </si>
  <si>
    <t>vickyzaynulfnc01@gmail.com</t>
  </si>
  <si>
    <t>DBP02000404</t>
  </si>
  <si>
    <t>EFI SETIA NINGSIH</t>
  </si>
  <si>
    <t>efisetianingsih691@gmail.com</t>
  </si>
  <si>
    <t>DBP02000405</t>
  </si>
  <si>
    <t>LABORA LESTARIA PURBA</t>
  </si>
  <si>
    <t>PEMATANG RAYA</t>
  </si>
  <si>
    <t>laboraprb@gmail.com</t>
  </si>
  <si>
    <t>Manajemen Rekayasa</t>
  </si>
  <si>
    <t>DBP02000406</t>
  </si>
  <si>
    <t>ADRIAN BAGASKARA HARYA PUTRA</t>
  </si>
  <si>
    <t>GRESIK</t>
  </si>
  <si>
    <t>bagasadrian2607@gmail.com</t>
  </si>
  <si>
    <t>Seni Media Rekam</t>
  </si>
  <si>
    <t>Film dan Televisi</t>
  </si>
  <si>
    <t>DBP02000407</t>
  </si>
  <si>
    <t>MUHAMAD ILHAM</t>
  </si>
  <si>
    <t>lhammuhamad6@gmail.com</t>
  </si>
  <si>
    <t>DBP02000408</t>
  </si>
  <si>
    <t>ERLITA APRIANA</t>
  </si>
  <si>
    <t>CILEGON</t>
  </si>
  <si>
    <t>aprianaerlita@gmail.com</t>
  </si>
  <si>
    <t>DBP02000409</t>
  </si>
  <si>
    <t>FACHRURAZI</t>
  </si>
  <si>
    <t>ARGAMAKMUR</t>
  </si>
  <si>
    <t>rozi36.r3@gmail.com</t>
  </si>
  <si>
    <t>DBP02000410</t>
  </si>
  <si>
    <t>TIFFANI SANDRADEWI WIGNJOSOESASTRO</t>
  </si>
  <si>
    <t>sandradewiwignjo@gmail.com</t>
  </si>
  <si>
    <t>Kedokteran Umum</t>
  </si>
  <si>
    <t>DBP02000411</t>
  </si>
  <si>
    <t>JANICE FELICIA DE SINTA ADJI</t>
  </si>
  <si>
    <t>fea1507@gmail.com</t>
  </si>
  <si>
    <t>DBP02000412</t>
  </si>
  <si>
    <t>RIZQA NUR IZZA MAULANA</t>
  </si>
  <si>
    <t>rizqanurizza03@gmail.com</t>
  </si>
  <si>
    <t>Ekonomika dan Bisnis</t>
  </si>
  <si>
    <t>DBP02000413</t>
  </si>
  <si>
    <t>HASANDIN SALAMPESSY</t>
  </si>
  <si>
    <t>salampessyhasandin@gmail.com</t>
  </si>
  <si>
    <t>DBP02000414</t>
  </si>
  <si>
    <t>MOHAMMAD AQIL FAISAL</t>
  </si>
  <si>
    <t>INDRAMAYU</t>
  </si>
  <si>
    <t>aqilfais0002@gmail.com</t>
  </si>
  <si>
    <t>Teknik Geologi</t>
  </si>
  <si>
    <t>DBP02000415</t>
  </si>
  <si>
    <t>SHASTA YAZIRA ZAHRA</t>
  </si>
  <si>
    <t>shastayaziraazahr@gmail.com</t>
  </si>
  <si>
    <t>DBP02000416</t>
  </si>
  <si>
    <t>EBYN ATSIL MAJID</t>
  </si>
  <si>
    <t>ebynmajid30@gmail.com</t>
  </si>
  <si>
    <t>Ilmu Politik</t>
  </si>
  <si>
    <t>DBP02000417</t>
  </si>
  <si>
    <t>KHAIRONNISA FAADIHILLAH</t>
  </si>
  <si>
    <t>faadihillahcaca11@gmail.com</t>
  </si>
  <si>
    <t>DBP02000418</t>
  </si>
  <si>
    <t>NI PUTU SASTI WULANDARI DWIPA</t>
  </si>
  <si>
    <t>sastiwulandari27@gmail.com</t>
  </si>
  <si>
    <t>DBP02000419</t>
  </si>
  <si>
    <t>GHINA LUTHFI NUR WULANDARI</t>
  </si>
  <si>
    <t>CIMAHI</t>
  </si>
  <si>
    <t>ghinalawyer@gmail.com</t>
  </si>
  <si>
    <t>DBP02000420</t>
  </si>
  <si>
    <t>DBP02000421</t>
  </si>
  <si>
    <t>VANESSA OLIVIA HARIKO</t>
  </si>
  <si>
    <t>vanessa.olivia71@gmail.com</t>
  </si>
  <si>
    <t xml:space="preserve">Teknik Material </t>
  </si>
  <si>
    <t>DBP02000422</t>
  </si>
  <si>
    <t>AHMAD GINANJAR SULAEMAN</t>
  </si>
  <si>
    <t>ahmadsulaeman084@gmail.com</t>
  </si>
  <si>
    <t>DBP02000423</t>
  </si>
  <si>
    <t>MIKAEL RIZKI PANDU EKANTO</t>
  </si>
  <si>
    <t>mikael.rizki.pe@gmail.com</t>
  </si>
  <si>
    <t>UNIVERSITAS KRISTEN DUTA WACANA</t>
  </si>
  <si>
    <t>DBP02000424</t>
  </si>
  <si>
    <t>FERDIANSYAH PUTRA PRATAMA</t>
  </si>
  <si>
    <t>ferdiansyahputrap@gmail.com</t>
  </si>
  <si>
    <t>DBP02000425</t>
  </si>
  <si>
    <t>MUHAMMAD HAFID AZIS</t>
  </si>
  <si>
    <t>hafidazis385@gmail.com</t>
  </si>
  <si>
    <t>DBP02000426</t>
  </si>
  <si>
    <t>ADE SUPRIADI</t>
  </si>
  <si>
    <t>supriadiade24@gmail.com</t>
  </si>
  <si>
    <t>DBP02000427</t>
  </si>
  <si>
    <t>BRIAN TARUNA NUGRAHA</t>
  </si>
  <si>
    <t>briantar9@gmail.com</t>
  </si>
  <si>
    <t>DBP02000428</t>
  </si>
  <si>
    <t>MARIA IMANUELLA DEWI SEKARTAJI</t>
  </si>
  <si>
    <t>PURWOREJO</t>
  </si>
  <si>
    <t>mariaimanuel20@gmail.com</t>
  </si>
  <si>
    <t>Sastra Rusia</t>
  </si>
  <si>
    <t>DBP02000429</t>
  </si>
  <si>
    <t>JEANNY MERILLA THEDA LUKITO</t>
  </si>
  <si>
    <t>jeanny.mtl@gmail.com</t>
  </si>
  <si>
    <t>DBP02000430</t>
  </si>
  <si>
    <t>KHOIRUNNISA</t>
  </si>
  <si>
    <t>nisa022003@gmail.com</t>
  </si>
  <si>
    <t>Manajemen Bisnis Internasional</t>
  </si>
  <si>
    <t>DBP02000431</t>
  </si>
  <si>
    <t>FIRA NADHEA</t>
  </si>
  <si>
    <t>firanadhea16@gmail.com</t>
  </si>
  <si>
    <t>DBP02000432</t>
  </si>
  <si>
    <t>GABRIELA AMANDA</t>
  </si>
  <si>
    <t>gabrielaamanda289@gmail.com</t>
  </si>
  <si>
    <t>Teknologi Rekayasa</t>
  </si>
  <si>
    <t>DBP02000433</t>
  </si>
  <si>
    <t>EDWIN HANS WIJAYA</t>
  </si>
  <si>
    <t>SINGARAJA</t>
  </si>
  <si>
    <t>edwinhanswijaya@gmail.com</t>
  </si>
  <si>
    <t>School of Computer Science</t>
  </si>
  <si>
    <t>Computer Science</t>
  </si>
  <si>
    <t>DBP02000434</t>
  </si>
  <si>
    <t>VELLICIA JESSLYN</t>
  </si>
  <si>
    <t>velliciajesslyn@gmail.com</t>
  </si>
  <si>
    <t>DBP02000435</t>
  </si>
  <si>
    <t>MARINA SITUMORANG</t>
  </si>
  <si>
    <t>PALANGKA RAYA</t>
  </si>
  <si>
    <t>situmorangmarina@gmail.com</t>
  </si>
  <si>
    <t>DBP02000436</t>
  </si>
  <si>
    <t>ATHAYA JUDITH RUTH SUSANTO</t>
  </si>
  <si>
    <t>athayajudith@gmail.com</t>
  </si>
  <si>
    <t>DBP02000437</t>
  </si>
  <si>
    <t>RINDI AUDYTA</t>
  </si>
  <si>
    <t>rindiaudyta1@gmail.com</t>
  </si>
  <si>
    <t>Keperawatan</t>
  </si>
  <si>
    <t>DBP02000438</t>
  </si>
  <si>
    <t>RONALDO DWI PUTRO</t>
  </si>
  <si>
    <t>OGAN KOMERING ILIR</t>
  </si>
  <si>
    <t>ronaldodwiputra83@gmail.com</t>
  </si>
  <si>
    <t>DBP02000439</t>
  </si>
  <si>
    <t>RIVALDI SILVA JULIAN</t>
  </si>
  <si>
    <t>ripaldi89@gmail.com</t>
  </si>
  <si>
    <t>DBP02000440</t>
  </si>
  <si>
    <t>TANTRI NURHIDAYAH PRIHATIWI</t>
  </si>
  <si>
    <t>tantriprihatiwi@gmail.com</t>
  </si>
  <si>
    <t>Ekonomi dan Manajemen</t>
  </si>
  <si>
    <t>Ekonomi Sumberdaya dan Lingkungan</t>
  </si>
  <si>
    <t>DBP02000441</t>
  </si>
  <si>
    <t xml:space="preserve">DESTI SARAH </t>
  </si>
  <si>
    <t>destisarah@gmail.com</t>
  </si>
  <si>
    <t>DBP02000442</t>
  </si>
  <si>
    <t>ALNA LIVIA FANNEZA</t>
  </si>
  <si>
    <t>alnaliviaf@gmail.com</t>
  </si>
  <si>
    <t>DBP02000443</t>
  </si>
  <si>
    <t>MADONNA MATHILDAH</t>
  </si>
  <si>
    <t>madonnamatildah@gmail.com</t>
  </si>
  <si>
    <t>DBP02000444</t>
  </si>
  <si>
    <t>ZEFANYA AIKO NAGATA WIJAYA</t>
  </si>
  <si>
    <t>zefanya.anw@gmail.com</t>
  </si>
  <si>
    <t>DBP02000445</t>
  </si>
  <si>
    <t>STEVANKA SANTOSO</t>
  </si>
  <si>
    <t>stevanka253@gmail.com</t>
  </si>
  <si>
    <t>DBP02000446</t>
  </si>
  <si>
    <t>PUTRI OCTAVIANI</t>
  </si>
  <si>
    <t>BOYOLALI</t>
  </si>
  <si>
    <t>putri.octaviani354@gmail.com</t>
  </si>
  <si>
    <t>DBP02000447</t>
  </si>
  <si>
    <t>VALENTINA RASI</t>
  </si>
  <si>
    <t>SINTANG</t>
  </si>
  <si>
    <t>valentinerasi@gmail.com</t>
  </si>
  <si>
    <t>UNIVERSITAS MA CHUNG</t>
  </si>
  <si>
    <t>Tenknologi dan Desain</t>
  </si>
  <si>
    <t>Desain Komunikasi Visual</t>
  </si>
  <si>
    <t>DBP02000448</t>
  </si>
  <si>
    <t>MUHAMMAD SHOFIAN TSAURI</t>
  </si>
  <si>
    <t>shofian.edu@gmail.com</t>
  </si>
  <si>
    <t>DBP02000449</t>
  </si>
  <si>
    <t>VALENTIA AGATHA YURINA</t>
  </si>
  <si>
    <t>valentiaagatha2226@gmail.com</t>
  </si>
  <si>
    <t>DBP02000450</t>
  </si>
  <si>
    <t>NAHIRA FATIMAH AZZAHRA</t>
  </si>
  <si>
    <t>nahira.azzahra@gmail.com</t>
  </si>
  <si>
    <t>DBP02000451</t>
  </si>
  <si>
    <t>DIAN AZIZAH LUKMAN</t>
  </si>
  <si>
    <t>dianazizahlukman@gmail.com</t>
  </si>
  <si>
    <t>UNIVERSITAS MATARAM</t>
  </si>
  <si>
    <t>Pendidikan Dokter</t>
  </si>
  <si>
    <t>DBP02000452</t>
  </si>
  <si>
    <t>OKTAV BERLA PERDANA</t>
  </si>
  <si>
    <t>MAJALENGKA</t>
  </si>
  <si>
    <t>oktavberlaperdana@gmail.com</t>
  </si>
  <si>
    <t>DBP02000453</t>
  </si>
  <si>
    <t>INA KUSTINAH</t>
  </si>
  <si>
    <t>inakoe136@gmail.com</t>
  </si>
  <si>
    <t>18 (2002/2003)</t>
  </si>
  <si>
    <t>Administrasi Negara</t>
  </si>
  <si>
    <t>DBP02000454</t>
  </si>
  <si>
    <t>BOBIT KOWANUS UTOMO</t>
  </si>
  <si>
    <t>bobitkowanusutomo@gmail.com</t>
  </si>
  <si>
    <t>UNIVERSITAS JAMBI</t>
  </si>
  <si>
    <t>Peternakan</t>
  </si>
  <si>
    <t>Produksi Ternak</t>
  </si>
  <si>
    <t>DBP02000455</t>
  </si>
  <si>
    <t>DESWANTO PUTRO PANGESTU</t>
  </si>
  <si>
    <t>estu722@gmail.com</t>
  </si>
  <si>
    <t>Fakultas Seni Media Rekam</t>
  </si>
  <si>
    <t>DBP02000456</t>
  </si>
  <si>
    <t>FATHIA NABILLA SARAH AZZAHRA</t>
  </si>
  <si>
    <t>fathianabillaa@gmail.com</t>
  </si>
  <si>
    <t>DBP02000457</t>
  </si>
  <si>
    <t>ABA SYUKUR</t>
  </si>
  <si>
    <t>abasyukur6@gmail.com</t>
  </si>
  <si>
    <t>DBP02000458</t>
  </si>
  <si>
    <t>RAFAEL HARSELIO SIANTURI</t>
  </si>
  <si>
    <t>SIBULUAN</t>
  </si>
  <si>
    <t>rafaelsianturi03@gmail.com</t>
  </si>
  <si>
    <t>DBP02000459</t>
  </si>
  <si>
    <t>MOHAMMAD FAHMI LUTHFI</t>
  </si>
  <si>
    <t>mohammadfahmiluthfi@gmail.com</t>
  </si>
  <si>
    <t>DBP02000460</t>
  </si>
  <si>
    <t>FRITA ANNISA REINA AZIS</t>
  </si>
  <si>
    <t>fritaareinaa@gmail.com</t>
  </si>
  <si>
    <t>DBP02000461</t>
  </si>
  <si>
    <t>MOHAMMAD ANAS ARDIANSYAH</t>
  </si>
  <si>
    <t>anas.ardiansyah80@gmail.com</t>
  </si>
  <si>
    <t>Sekolah Arsitektur, Perencanaan, dan Pengembangan Kebijakan</t>
  </si>
  <si>
    <t>DBP02000462</t>
  </si>
  <si>
    <t>JUTHE ARVANDANA POHAN</t>
  </si>
  <si>
    <t>juthearvandana@gmail.com</t>
  </si>
  <si>
    <t>DBP02000463</t>
  </si>
  <si>
    <t>CHRISTOFER YEHUDA D.R</t>
  </si>
  <si>
    <t>christoferyehuda943@gmail.com</t>
  </si>
  <si>
    <t>INSTITUT TEKNOLOGI HARAPAN BANGSA</t>
  </si>
  <si>
    <t>DBP02000464</t>
  </si>
  <si>
    <t>ANNISA ZAHRA RIFANY</t>
  </si>
  <si>
    <t>annisazahra.az@gmail.com</t>
  </si>
  <si>
    <t>DBP02000465</t>
  </si>
  <si>
    <t>PRAMUDITA DYAH PANGESTI</t>
  </si>
  <si>
    <t>pramuditadp00@gmail.com</t>
  </si>
  <si>
    <t>Pendidikan IPS</t>
  </si>
  <si>
    <t>DBP02000466</t>
  </si>
  <si>
    <t>RAHADIAN RAFLI ZULKARNAIN</t>
  </si>
  <si>
    <t>rahadianraflizulkarnain@gmail.com</t>
  </si>
  <si>
    <t>DBP02000467</t>
  </si>
  <si>
    <t>MUHAMMAD RAFI NUR IMAN</t>
  </si>
  <si>
    <t>muhammadrafinuriman@student.uns.ac.id</t>
  </si>
  <si>
    <t>DBP02000468</t>
  </si>
  <si>
    <t>DAFA RIFQI FIRDIANTO</t>
  </si>
  <si>
    <t>rifqiarcan@gmail.com</t>
  </si>
  <si>
    <t>Vokasi</t>
  </si>
  <si>
    <t>Statistika Bisnis</t>
  </si>
  <si>
    <t>DBP02000469</t>
  </si>
  <si>
    <t>MARSA ASY-SYIFA KHANSA UFAIRAH</t>
  </si>
  <si>
    <t>marsakhansa72@gmail.com</t>
  </si>
  <si>
    <t>Fakultas Pendidikan Ilmu Pengetahuan Sosial</t>
  </si>
  <si>
    <t>Ilmu Pendidikan Agama Islam</t>
  </si>
  <si>
    <t>DBP02000470</t>
  </si>
  <si>
    <t>TAFFANI RABBANI</t>
  </si>
  <si>
    <t>taffanyrabbany@gmail.com</t>
  </si>
  <si>
    <t>UPI Kampus Daerah di Cibiru</t>
  </si>
  <si>
    <t>Pendidikan Guru Pendidikan Anak Usia Dini</t>
  </si>
  <si>
    <t>DBP02000471</t>
  </si>
  <si>
    <t>NIDA'UL KHOIROH</t>
  </si>
  <si>
    <t>nidaul165@gmail.com</t>
  </si>
  <si>
    <t>Pendidikan bahasa inggris</t>
  </si>
  <si>
    <t>DBP02000472</t>
  </si>
  <si>
    <t>ILHAM ROSIDI</t>
  </si>
  <si>
    <t>ilham.rosidi@upi.edu</t>
  </si>
  <si>
    <t>Pendidikan Ilmu Pengetahuan Sosial</t>
  </si>
  <si>
    <t>Pendidikan Kewarganegaraan</t>
  </si>
  <si>
    <t>DBP02000473</t>
  </si>
  <si>
    <t>EDDI WIBOWO</t>
  </si>
  <si>
    <t>eddiwibowo6@gmail.com</t>
  </si>
  <si>
    <t>DBP02000474</t>
  </si>
  <si>
    <t>MARITS IKMAL YASIN</t>
  </si>
  <si>
    <t>ikmalyasin77@gmail.com</t>
  </si>
  <si>
    <t>Teknik Informatika dan Komputer</t>
  </si>
  <si>
    <t>DBP02000475</t>
  </si>
  <si>
    <t>WILSON CHANDRA</t>
  </si>
  <si>
    <t>wilson.chandra20@gmail.com</t>
  </si>
  <si>
    <t>DBP02000476</t>
  </si>
  <si>
    <t>SYLVANA ANNISA</t>
  </si>
  <si>
    <t>sylvanaannisa@gmail.com</t>
  </si>
  <si>
    <t>DBP02000477</t>
  </si>
  <si>
    <t>MUHAMMAD DAFFA PUTRA</t>
  </si>
  <si>
    <t>muhammaddaffaputra45@gmail.com</t>
  </si>
  <si>
    <t>DBP02000478</t>
  </si>
  <si>
    <t>ALYA NUR RAMADHANI</t>
  </si>
  <si>
    <t>alyaramadhani44@gmail.com</t>
  </si>
  <si>
    <t>DBP02000479</t>
  </si>
  <si>
    <t>GATHAN PUTRA GAUTAMA</t>
  </si>
  <si>
    <t>RANAH SIGADING</t>
  </si>
  <si>
    <t>videogathan@gmail.com</t>
  </si>
  <si>
    <t>Teknologi Pangan dan Hasil Pertanian</t>
  </si>
  <si>
    <t>DBP02000480</t>
  </si>
  <si>
    <t xml:space="preserve">FATIKAH IZZA MAULIDINA S. </t>
  </si>
  <si>
    <t>fatikahizza@student.ub.ac.id</t>
  </si>
  <si>
    <t>DBP02000481</t>
  </si>
  <si>
    <t xml:space="preserve">MUKHAMMAD RAFIQ MUZAKKI </t>
  </si>
  <si>
    <t xml:space="preserve">SIDOARJO </t>
  </si>
  <si>
    <t>rafiqmuzakkisains30@gmail.com</t>
  </si>
  <si>
    <t>DBP02000482</t>
  </si>
  <si>
    <t>LAURENCIA ANSHY OLETHEA</t>
  </si>
  <si>
    <t>aure180202@gmail.com</t>
  </si>
  <si>
    <t>DBP02000483</t>
  </si>
  <si>
    <t>BUDI ARIYANTO</t>
  </si>
  <si>
    <t>budiariyanto.id@gmail.com</t>
  </si>
  <si>
    <t>DBP02000484</t>
  </si>
  <si>
    <t>RIZKY UBAYD KURNIAWAN</t>
  </si>
  <si>
    <t>rizky.ubayd@gmail.com</t>
  </si>
  <si>
    <t>Ilmu Kesehatan Masyara - Keselamatan Kesehatan Kerja (K3)</t>
  </si>
  <si>
    <t>DBP02000485</t>
  </si>
  <si>
    <t>M RAJIB ABDUL GHANI</t>
  </si>
  <si>
    <t>mrajibabdulghani@gmail.com</t>
  </si>
  <si>
    <t>DBP02000486</t>
  </si>
  <si>
    <t>MONICA GITA ULI SIREGAR</t>
  </si>
  <si>
    <t>monicagitauli19@gmail.com</t>
  </si>
  <si>
    <t>DBP02000487</t>
  </si>
  <si>
    <t>RAHMA AZIZAH</t>
  </si>
  <si>
    <t>raazizah08@gmail.com</t>
  </si>
  <si>
    <t>DBP02000488</t>
  </si>
  <si>
    <t>KAREN ANNE MARY</t>
  </si>
  <si>
    <t>maryannekaren123@gmail.com</t>
  </si>
  <si>
    <t>DBP02000489</t>
  </si>
  <si>
    <t>ANITA NOVIYANI</t>
  </si>
  <si>
    <t>anitanoviyani21016@gmail.com</t>
  </si>
  <si>
    <t>DBP02000490</t>
  </si>
  <si>
    <t>INDRI AYU</t>
  </si>
  <si>
    <t>indriayuchan@gmail.com</t>
  </si>
  <si>
    <t>DBP02000491</t>
  </si>
  <si>
    <t xml:space="preserve">SAHARANI ST </t>
  </si>
  <si>
    <t xml:space="preserve">BANGKALAN </t>
  </si>
  <si>
    <t>sahranist415@gmail.com</t>
  </si>
  <si>
    <t>DBP02000492</t>
  </si>
  <si>
    <t>NICHOLAS HANSEN</t>
  </si>
  <si>
    <t>nicholas.hansen03@gmail.com</t>
  </si>
  <si>
    <t>Ilmu Komputer dan Teknologi Informasi</t>
  </si>
  <si>
    <t>DBP02000493</t>
  </si>
  <si>
    <t>MAHARANI ADELINE VERLEIONE</t>
  </si>
  <si>
    <t>maharaniadelinev@gmail.com</t>
  </si>
  <si>
    <t>Fisika</t>
  </si>
  <si>
    <t>DBP02000494</t>
  </si>
  <si>
    <t>NILAM SUKMA SALSABIL</t>
  </si>
  <si>
    <t>nilamsukma01@gmail.com</t>
  </si>
  <si>
    <t>Fakultas Pendidikan Ekonomi dan Bisnis</t>
  </si>
  <si>
    <t>Pendidikan Ekonomi</t>
  </si>
  <si>
    <t>DBP02000495</t>
  </si>
  <si>
    <t>DAFFA RAFSANZANI</t>
  </si>
  <si>
    <t>drafsanzani@gmail.com</t>
  </si>
  <si>
    <t>DBP02000496</t>
  </si>
  <si>
    <t>VINCENT CHRISTIAN LAURENT</t>
  </si>
  <si>
    <t>vcl3636@gmail.com</t>
  </si>
  <si>
    <t>DBP02000497</t>
  </si>
  <si>
    <t>SHERLY ANGELICA</t>
  </si>
  <si>
    <t>sherlyangelica6@gmail.com</t>
  </si>
  <si>
    <t>Teknik Biomedis</t>
  </si>
  <si>
    <t>DBP02000498</t>
  </si>
  <si>
    <t>SHALSYA DIAN APRILYANA</t>
  </si>
  <si>
    <t>cacadian0704@gmail.com</t>
  </si>
  <si>
    <t>DBP02000499</t>
  </si>
  <si>
    <t xml:space="preserve">MUHDAD ALFARIS BACHMID </t>
  </si>
  <si>
    <t>TERNATE</t>
  </si>
  <si>
    <t>alfarisbachmid@gmail.com</t>
  </si>
  <si>
    <t xml:space="preserve">Teknik Informatika </t>
  </si>
  <si>
    <t>DBP02000500</t>
  </si>
  <si>
    <t>AGHNIA FASZA DESTIFFANY NUH</t>
  </si>
  <si>
    <t>aghnia.fasza@gmail.com</t>
  </si>
  <si>
    <t>Agribisinis</t>
  </si>
  <si>
    <t>DBP02000501</t>
  </si>
  <si>
    <t>ALVIAN NUR FIRDAUS</t>
  </si>
  <si>
    <t>alvianfirdaus896@gmail.com</t>
  </si>
  <si>
    <t>DBP02000502</t>
  </si>
  <si>
    <t>ANDRIO CHRIS WALDI PASARIBU</t>
  </si>
  <si>
    <t>andriochriswaldi@gmail.com</t>
  </si>
  <si>
    <t>DBP02000503</t>
  </si>
  <si>
    <t>MARISA SAFITRI</t>
  </si>
  <si>
    <t>marisasafitri98@gmail.com</t>
  </si>
  <si>
    <t>DBP02000504</t>
  </si>
  <si>
    <t>CARISSA LOVANI</t>
  </si>
  <si>
    <t>carissalovani.cl@gmail.com</t>
  </si>
  <si>
    <t>DBP02000505</t>
  </si>
  <si>
    <t>NURULITA SEKARAYU RIMBANGSARI</t>
  </si>
  <si>
    <t>nurullitasekar59@gmail.com</t>
  </si>
  <si>
    <t>DBP02000506</t>
  </si>
  <si>
    <t>ENDAR SUMARSONO</t>
  </si>
  <si>
    <t>endarsumarsono@gmail.com</t>
  </si>
  <si>
    <t>20 (2004/2005)</t>
  </si>
  <si>
    <t>DBP02000507</t>
  </si>
  <si>
    <t>GALANG PUTRA PRATAMA</t>
  </si>
  <si>
    <t>galangp99@gmail.com</t>
  </si>
  <si>
    <t>DBP02000508</t>
  </si>
  <si>
    <t xml:space="preserve">MOCHAMMAD SYAHRINDRA AKBAR SUHARNO </t>
  </si>
  <si>
    <t>syahrindraakbar09@gmail.com</t>
  </si>
  <si>
    <t xml:space="preserve">Informatika </t>
  </si>
  <si>
    <t>DBP02000509</t>
  </si>
  <si>
    <t>NABILLA HILZAVIANI</t>
  </si>
  <si>
    <t>nabillahilzaviani27@gmail.com</t>
  </si>
  <si>
    <t>Teknik Metalurgi</t>
  </si>
  <si>
    <t>DBP02000510</t>
  </si>
  <si>
    <t>IVONA TRI AMANDA</t>
  </si>
  <si>
    <t>ivonaamandatri@gmail.com</t>
  </si>
  <si>
    <t>DBP02000511</t>
  </si>
  <si>
    <t>RICKY JATMIKO</t>
  </si>
  <si>
    <t>rickyjatmiko15@gmail.com</t>
  </si>
  <si>
    <t>Pendidikan Teknik Mesin</t>
  </si>
  <si>
    <t>DBP02000512</t>
  </si>
  <si>
    <t>KRISNA DWIPAYANA HAMARA SE</t>
  </si>
  <si>
    <t>TASIKMALA</t>
  </si>
  <si>
    <t>krisnadwipayanahamara@gmail.com</t>
  </si>
  <si>
    <t>DBP02000513</t>
  </si>
  <si>
    <t>ANDREAS BRYANT CHRISTANTO</t>
  </si>
  <si>
    <t>MERAUKE</t>
  </si>
  <si>
    <t>andreabryant07@gmail.com</t>
  </si>
  <si>
    <t>DBP02000514</t>
  </si>
  <si>
    <t>RAHMAT AKHIRUL AMIN</t>
  </si>
  <si>
    <t>rahmatakhirul223@gmail.com</t>
  </si>
  <si>
    <t>Arsitektur Lanskap</t>
  </si>
  <si>
    <t>DBP02000515</t>
  </si>
  <si>
    <t>JESSICA AMANDA</t>
  </si>
  <si>
    <t>TANJUNG ENIM</t>
  </si>
  <si>
    <t>jessicaa.amandaa22@gmail.com</t>
  </si>
  <si>
    <t>DBP02000516</t>
  </si>
  <si>
    <t>MUARTI NOVI ROHMAH</t>
  </si>
  <si>
    <t>novirohmah9@gmail.com</t>
  </si>
  <si>
    <t>DBP02000517</t>
  </si>
  <si>
    <t>AZRIEL DAFFA NAUFAL AL FUADI</t>
  </si>
  <si>
    <t>azrieldaffa1@gmail.com</t>
  </si>
  <si>
    <t>DBP02000518</t>
  </si>
  <si>
    <t>ERDO DWI PUTRA</t>
  </si>
  <si>
    <t>erdodp@gmail.com</t>
  </si>
  <si>
    <t>DBP02000519</t>
  </si>
  <si>
    <t>HASNA WARDA WIDDATY</t>
  </si>
  <si>
    <t>hasnawiddaty@gmail.com</t>
  </si>
  <si>
    <t>DBP02000520</t>
  </si>
  <si>
    <t>ANDRIANI KA VINA RIFAI</t>
  </si>
  <si>
    <t>andrianikvn16@gmail.com</t>
  </si>
  <si>
    <t>DBP02000521</t>
  </si>
  <si>
    <t>FERNALDY MANUEL ALKUIN</t>
  </si>
  <si>
    <t>fernaldyjoe@gmail.com</t>
  </si>
  <si>
    <t>Ilmu dan Teknologi Pangan</t>
  </si>
  <si>
    <t>DBP02000522</t>
  </si>
  <si>
    <t>NANANG DWI PRAATMANA</t>
  </si>
  <si>
    <t>nanangdp26@gmail.com</t>
  </si>
  <si>
    <t>DBP02000523</t>
  </si>
  <si>
    <t>DINAR ARTANTI</t>
  </si>
  <si>
    <t>dinarartanti@gmail.com</t>
  </si>
  <si>
    <t>DBP02000524</t>
  </si>
  <si>
    <t xml:space="preserve">MARLINDA OKTAVIANI </t>
  </si>
  <si>
    <t>marlindaoktavia55@gmail.com</t>
  </si>
  <si>
    <t xml:space="preserve">Pendidikan bahasa Inggris </t>
  </si>
  <si>
    <t>DBP02000525</t>
  </si>
  <si>
    <t>TITIK PURWANTI</t>
  </si>
  <si>
    <t>titikpurwanti637@gmail.com</t>
  </si>
  <si>
    <t>DBP02000526</t>
  </si>
  <si>
    <t>RUSIANA</t>
  </si>
  <si>
    <t>irawanrusiana83@gmail.com</t>
  </si>
  <si>
    <t>DBP02000527</t>
  </si>
  <si>
    <t>DEWI FITRIANI</t>
  </si>
  <si>
    <t>dewif0319@gmail.com</t>
  </si>
  <si>
    <t>DBP02000528</t>
  </si>
  <si>
    <t>SILVIA AGUSTINA</t>
  </si>
  <si>
    <t>bbubby728@gmail.com</t>
  </si>
  <si>
    <t>Syariah</t>
  </si>
  <si>
    <t>Hukum Keluarga Islam</t>
  </si>
  <si>
    <t>DBP02000529</t>
  </si>
  <si>
    <t xml:space="preserve">DWY PUSPITASARI </t>
  </si>
  <si>
    <t>dwy.puspitasari@gmail.com</t>
  </si>
  <si>
    <t>SISTEM INFORMASI</t>
  </si>
  <si>
    <t>DBP02000530</t>
  </si>
  <si>
    <t>GITA SETYAWATI</t>
  </si>
  <si>
    <t>gitagram19@gmail.com</t>
  </si>
  <si>
    <t>DBP02000531</t>
  </si>
  <si>
    <t xml:space="preserve">SIKIT MAGAFIRA </t>
  </si>
  <si>
    <t xml:space="preserve">TENGGARONG </t>
  </si>
  <si>
    <t>firasikit@gmail.com</t>
  </si>
  <si>
    <t>DBP02000532</t>
  </si>
  <si>
    <t>UMI FITRIANA</t>
  </si>
  <si>
    <t>fitrianaumi1@gmail.com</t>
  </si>
  <si>
    <t>DBP02000533</t>
  </si>
  <si>
    <t>SITI MUNZAYANAH</t>
  </si>
  <si>
    <t>moza.siti11@gmail.com</t>
  </si>
  <si>
    <t>Akhwalus Syakhsiyyah</t>
  </si>
  <si>
    <t>DBP02000534</t>
  </si>
  <si>
    <t xml:space="preserve">INAROTUS SAIDAH </t>
  </si>
  <si>
    <t xml:space="preserve">DEMAK </t>
  </si>
  <si>
    <t>inarotussaidah.math@students.unnes.ac.id</t>
  </si>
  <si>
    <t xml:space="preserve">Sains dan teknologi </t>
  </si>
  <si>
    <t xml:space="preserve">pendidikan Matematika </t>
  </si>
  <si>
    <t>DBP02000535</t>
  </si>
  <si>
    <t>MIFTAKHUL ULUM</t>
  </si>
  <si>
    <t>shainalabiba52@gmail.com</t>
  </si>
  <si>
    <t>DBP02000536</t>
  </si>
  <si>
    <t>AHYA'UL FATAH</t>
  </si>
  <si>
    <t>fatah.jepara08@gmail.com</t>
  </si>
  <si>
    <t>Ahwalus Syakhsyiyah</t>
  </si>
  <si>
    <t>DBP02000537</t>
  </si>
  <si>
    <t>DESAK MADE AYU PUTRI DWI CAHYANTI</t>
  </si>
  <si>
    <t>TABANAN</t>
  </si>
  <si>
    <t>putridwicahyanti30@gmail.com</t>
  </si>
  <si>
    <t>DBP02000538</t>
  </si>
  <si>
    <t>SUSANTI</t>
  </si>
  <si>
    <t>TASIKMALAYA</t>
  </si>
  <si>
    <t>shanti.beswan27@gmail.com</t>
  </si>
  <si>
    <t>DBP02000539</t>
  </si>
  <si>
    <t>ROLI VERNANDA SIMBOLON</t>
  </si>
  <si>
    <t>simbolonroli@gmail.com</t>
  </si>
  <si>
    <t>DBP02000540</t>
  </si>
  <si>
    <t>FEBY AISHA A HARAHAP</t>
  </si>
  <si>
    <t>febybestluck9@gmail.com</t>
  </si>
  <si>
    <t>DBP02000541</t>
  </si>
  <si>
    <t>SALMA KHARISSYA</t>
  </si>
  <si>
    <t>TEBING TINGGI</t>
  </si>
  <si>
    <t>skharissya@gmail.com</t>
  </si>
  <si>
    <t>DBP02000542</t>
  </si>
  <si>
    <t>MARTA ANGGIT LINUHUR</t>
  </si>
  <si>
    <t>martaanggit@gmail.com</t>
  </si>
  <si>
    <t>DBP02000543</t>
  </si>
  <si>
    <t>AR AMIEN</t>
  </si>
  <si>
    <t>ar.amien19@gmail.com</t>
  </si>
  <si>
    <t>DBP02000544</t>
  </si>
  <si>
    <t>MARIA FELICIA MAYA HANELLA</t>
  </si>
  <si>
    <t>mariafeliciamh@gmail.com</t>
  </si>
  <si>
    <t>Akunting</t>
  </si>
  <si>
    <t>DBP02000545</t>
  </si>
  <si>
    <t>LUISA CARMEL</t>
  </si>
  <si>
    <t>luisaacarmel@gmail.com</t>
  </si>
  <si>
    <t>DBP02000546</t>
  </si>
  <si>
    <t>DESITA DINI PRASTIWI</t>
  </si>
  <si>
    <t>desitadini.prastiwi@gmail.com</t>
  </si>
  <si>
    <t>DBP02000547</t>
  </si>
  <si>
    <t xml:space="preserve">MUH IQBAL ISKANDAR </t>
  </si>
  <si>
    <t>miqimakassar@gmail.com</t>
  </si>
  <si>
    <t>Sastra</t>
  </si>
  <si>
    <t xml:space="preserve">Sastra Inggris </t>
  </si>
  <si>
    <t>DBP02000548</t>
  </si>
  <si>
    <t>CERRY HANNA GRACE PEKEY</t>
  </si>
  <si>
    <t>NABIRE</t>
  </si>
  <si>
    <t>hanapekey222@gmail.com</t>
  </si>
  <si>
    <t>UNIVERSITAS CENDRAWASIH</t>
  </si>
  <si>
    <t>Manajemen Pendidikan</t>
  </si>
  <si>
    <t>DBP02000549</t>
  </si>
  <si>
    <t>MARIA CHRISTI GITA KUSUMANINGTYAS</t>
  </si>
  <si>
    <t>mariachristigitak@gmail.com</t>
  </si>
  <si>
    <t>Kedokteran Hewan</t>
  </si>
  <si>
    <t>DBP02000550</t>
  </si>
  <si>
    <t>SAKA ILHAM SURAKOGI</t>
  </si>
  <si>
    <t>sakailham010110@gmail.com</t>
  </si>
  <si>
    <t>DBP02000551</t>
  </si>
  <si>
    <t>FADLUL LAILI</t>
  </si>
  <si>
    <t>SITUBONDO</t>
  </si>
  <si>
    <t>fadlullaili20@gmail.com</t>
  </si>
  <si>
    <t>Agroteknoogi</t>
  </si>
  <si>
    <t>DBP02000552</t>
  </si>
  <si>
    <t>RINO SAPUTRA</t>
  </si>
  <si>
    <t>rinoartupas@gmail.com</t>
  </si>
  <si>
    <t>DBP02000553</t>
  </si>
  <si>
    <t>IRMA PUSPITASARI</t>
  </si>
  <si>
    <t>MADIUN</t>
  </si>
  <si>
    <t>ir.irmapuspitasari@gmail.com</t>
  </si>
  <si>
    <t>DBP02000554</t>
  </si>
  <si>
    <t>RISTA JULIANTY LATUPUTTY</t>
  </si>
  <si>
    <t>LATUHALAT</t>
  </si>
  <si>
    <t>ristajlatuputty@gmail.com</t>
  </si>
  <si>
    <t>DBP02000555</t>
  </si>
  <si>
    <t>NI PUTU INDAH PURNAMI</t>
  </si>
  <si>
    <t>indahpurnami10@gmail.com</t>
  </si>
  <si>
    <t>DBP02000556</t>
  </si>
  <si>
    <t>SULAIMAN DULU</t>
  </si>
  <si>
    <t>tansulaimandulu@gmail.com</t>
  </si>
  <si>
    <t>Teknik Pertambangan</t>
  </si>
  <si>
    <t>DBP02000557</t>
  </si>
  <si>
    <t>ADELLA SUWANDHI</t>
  </si>
  <si>
    <t>adellasuwandhii@gmail.com</t>
  </si>
  <si>
    <t>Ilmu Administrasi Bisnis dan Ilmu Komunikasi</t>
  </si>
  <si>
    <t>DBP02000558</t>
  </si>
  <si>
    <t>SHINTA LISTIANDANI</t>
  </si>
  <si>
    <t>shintalistiandani@gmail.com</t>
  </si>
  <si>
    <t>DBP02000559</t>
  </si>
  <si>
    <t>YENI NOVIARTI</t>
  </si>
  <si>
    <t>RAMBATAN</t>
  </si>
  <si>
    <t>vhia.noviarti@gmail.com</t>
  </si>
  <si>
    <t>DBP02000560</t>
  </si>
  <si>
    <t>SILVIA HENI MORENA</t>
  </si>
  <si>
    <t>PARIAMAN</t>
  </si>
  <si>
    <t>silviamorena0709@gmail.com</t>
  </si>
  <si>
    <t>DBP02000561</t>
  </si>
  <si>
    <t>NURUL KARIMA</t>
  </si>
  <si>
    <t>n.karima97@gmail.com</t>
  </si>
  <si>
    <t>DBP02000562</t>
  </si>
  <si>
    <t>ZULKIFLI</t>
  </si>
  <si>
    <t>zul.0687@gmail.com</t>
  </si>
  <si>
    <t>DBP02000563</t>
  </si>
  <si>
    <t>BREMAHARDIKA DIAS SADEWA</t>
  </si>
  <si>
    <t>sadewadias@gmail.com</t>
  </si>
  <si>
    <t>DBP02000564</t>
  </si>
  <si>
    <t>GRACIA HANNA INDRA</t>
  </si>
  <si>
    <t>grcgracia@gmail.com</t>
  </si>
  <si>
    <t>DBP02000565</t>
  </si>
  <si>
    <t>HETRI PIMA ANGGARA</t>
  </si>
  <si>
    <t>MUARA BUNGO</t>
  </si>
  <si>
    <t>anggara.hetri@gmail.com</t>
  </si>
  <si>
    <t>DBP02000566</t>
  </si>
  <si>
    <t>WIBOWO</t>
  </si>
  <si>
    <t xml:space="preserve">JAKARTA </t>
  </si>
  <si>
    <t>oenwibowo@gmail.com</t>
  </si>
  <si>
    <t>DBP02000567</t>
  </si>
  <si>
    <t>GITA WINDASARI</t>
  </si>
  <si>
    <t>gitawindasr@gmail.com</t>
  </si>
  <si>
    <t>UNIVERSITAS BORNEO TARAKAN</t>
  </si>
  <si>
    <t>DBP02000568</t>
  </si>
  <si>
    <t>AHMAD ISHAMUL AYADY AKMAL</t>
  </si>
  <si>
    <t>ishamulayadyakmal@gmail.com</t>
  </si>
  <si>
    <t>DBP02000569</t>
  </si>
  <si>
    <t>RAHMAT TAUFIQ H.R</t>
  </si>
  <si>
    <t>idondidong@gmail.com</t>
  </si>
  <si>
    <t>DBP02000570</t>
  </si>
  <si>
    <t>ALDEN JULIO NOYA</t>
  </si>
  <si>
    <t>KOTA AMBON</t>
  </si>
  <si>
    <t>julionoya17@gmail.com</t>
  </si>
  <si>
    <t>DBP02000571</t>
  </si>
  <si>
    <t>SITI MARLINA</t>
  </si>
  <si>
    <t>amarlina279@gmail.com</t>
  </si>
  <si>
    <t>DBP02000572</t>
  </si>
  <si>
    <t>NUGROHO WASISPRATAMA</t>
  </si>
  <si>
    <t>BUKITTINGGI</t>
  </si>
  <si>
    <t>nugrohowasis34@gmail.com</t>
  </si>
  <si>
    <t>DBP02000573</t>
  </si>
  <si>
    <t xml:space="preserve">ARIF IMBANG PAMBUDI </t>
  </si>
  <si>
    <t>imbangp@gmail.com</t>
  </si>
  <si>
    <t>Metalurgi Material</t>
  </si>
  <si>
    <t>DBP02000574</t>
  </si>
  <si>
    <t>AWALINA CHOIRUNNISA RACHMAWATI</t>
  </si>
  <si>
    <t>awalina46@gmail.com</t>
  </si>
  <si>
    <t>DBP02000575</t>
  </si>
  <si>
    <t>WILLY ANTONIO TANNO</t>
  </si>
  <si>
    <t>willy.tanno@gmail.com</t>
  </si>
  <si>
    <t>DBP02000576</t>
  </si>
  <si>
    <t>DBP02000577</t>
  </si>
  <si>
    <t>SUKMA SYAFIKRI MULTI</t>
  </si>
  <si>
    <t>sukmasyafikri@gmail.com</t>
  </si>
  <si>
    <t>DBP02000578</t>
  </si>
  <si>
    <t>RIRIS ARFIANTI</t>
  </si>
  <si>
    <t>ririsarfianti@gmail.com</t>
  </si>
  <si>
    <t>Kimia Program Studi Pendidikan Kimia</t>
  </si>
  <si>
    <t>DBP02000579</t>
  </si>
  <si>
    <t>M. FIKRI HUDA BAKHTIAR</t>
  </si>
  <si>
    <t>fikribakhtiar68@gmail.com</t>
  </si>
  <si>
    <t>DBP02000580</t>
  </si>
  <si>
    <t>SINDY JIHAN NABILAH RAMADHINI</t>
  </si>
  <si>
    <t>jnrsindy@gmail.com</t>
  </si>
  <si>
    <t>DBP02000581</t>
  </si>
  <si>
    <t>MOHAMMAD HABIBURRAHMAN</t>
  </si>
  <si>
    <t>PRAYA</t>
  </si>
  <si>
    <t>em.habib99@gmail.com</t>
  </si>
  <si>
    <t>Fakultas Ilmu Pendidikan</t>
  </si>
  <si>
    <t>Teknologi Pendidikan</t>
  </si>
  <si>
    <t>DBP02000582</t>
  </si>
  <si>
    <t>MAYDA NABILAH ANJANI</t>
  </si>
  <si>
    <t>nabilnjn@gmail.com</t>
  </si>
  <si>
    <t>DBP02000583</t>
  </si>
  <si>
    <t xml:space="preserve">YOVITA WINDYASTANTI </t>
  </si>
  <si>
    <t>yovita.ukg@gmail.com</t>
  </si>
  <si>
    <t xml:space="preserve">Perikanan dan Kelautan </t>
  </si>
  <si>
    <t>Aquaculture</t>
  </si>
  <si>
    <t>DBP02000584</t>
  </si>
  <si>
    <t>NURUL AZISAH KAMIL</t>
  </si>
  <si>
    <t>BANTEANG</t>
  </si>
  <si>
    <t>nurulazisahkamil05@gmail.com</t>
  </si>
  <si>
    <t>DBP02000585</t>
  </si>
  <si>
    <t>I PUTU INDRA MAHENDRA PRIYADI</t>
  </si>
  <si>
    <t>indramhdr@gmail.com</t>
  </si>
  <si>
    <t>DBP02000586</t>
  </si>
  <si>
    <t>FACHRUL THAIB</t>
  </si>
  <si>
    <t>fachrul.thaib@yahoo.com</t>
  </si>
  <si>
    <t>UNIVERSITAS PARAMADINA</t>
  </si>
  <si>
    <t>DBP02000587</t>
  </si>
  <si>
    <t>NATASYA GABRIELLA SARASWATI</t>
  </si>
  <si>
    <t>alexandranatasya@gmail.com</t>
  </si>
  <si>
    <t>DBP02000588</t>
  </si>
  <si>
    <t>FADHILAH AFQA ALGHIFARI</t>
  </si>
  <si>
    <t>NGAWI</t>
  </si>
  <si>
    <t>afqa1973@gmail.com</t>
  </si>
  <si>
    <t>DBP02000589</t>
  </si>
  <si>
    <t>REYNALDI SUNARYO</t>
  </si>
  <si>
    <t>sunaryoreynaldi96@gmail.com</t>
  </si>
  <si>
    <t>Teknik Lingkungan</t>
  </si>
  <si>
    <t>DBP02000590</t>
  </si>
  <si>
    <t>GABY LAURA DWI PUTRI TINDAON</t>
  </si>
  <si>
    <t>GIESSEN, JERMAN</t>
  </si>
  <si>
    <t>gabytindaon@gmail.com</t>
  </si>
  <si>
    <t>DBP02000591</t>
  </si>
  <si>
    <t>HILDA MAHARANI</t>
  </si>
  <si>
    <t>hildaidamaharani@gmail.com</t>
  </si>
  <si>
    <t>DBP02000592</t>
  </si>
  <si>
    <t>WINDA HARVIYANTI ANANDITA</t>
  </si>
  <si>
    <t>windaharviy@gmail.com</t>
  </si>
  <si>
    <t>DBP02000593</t>
  </si>
  <si>
    <t>DITA DIAN PERDANANINGTYAS</t>
  </si>
  <si>
    <t>swaradxtyzs@gmail.com</t>
  </si>
  <si>
    <t>DBP02000594</t>
  </si>
  <si>
    <t>DIDI PRAMONO</t>
  </si>
  <si>
    <t>didipramono@mail.unnes.ac.id</t>
  </si>
  <si>
    <t>Sosiologi dan Antropologi</t>
  </si>
  <si>
    <t>DBP02000595</t>
  </si>
  <si>
    <t>JESICA LAURENSIA</t>
  </si>
  <si>
    <t>jesicalaurensia18@gmail.com</t>
  </si>
  <si>
    <t>DBP02000596</t>
  </si>
  <si>
    <t xml:space="preserve">SADAM AHMAD NIRWANSYAH </t>
  </si>
  <si>
    <t>sadamahmadn11@gmail.com</t>
  </si>
  <si>
    <t xml:space="preserve">Pendidikan Teknik Informatika </t>
  </si>
  <si>
    <t>DBP02000597</t>
  </si>
  <si>
    <t>RICKY FARREL</t>
  </si>
  <si>
    <t>rickyfarrel04@gmail.com</t>
  </si>
  <si>
    <t>DBP02000598</t>
  </si>
  <si>
    <t>NURIATI MASRUROH</t>
  </si>
  <si>
    <t>nuriamasruroh05@gmail.com</t>
  </si>
  <si>
    <t>DBP02000599</t>
  </si>
  <si>
    <t>ANGELINA MAUREEN ELTI</t>
  </si>
  <si>
    <t xml:space="preserve">TANGERANG </t>
  </si>
  <si>
    <t>angelti1945@gmail.com</t>
  </si>
  <si>
    <t xml:space="preserve">AGRONOMI DAN HORTIKULTURA </t>
  </si>
  <si>
    <t>DBP02000600</t>
  </si>
  <si>
    <t>DEVI YULIANTI WAFIAH</t>
  </si>
  <si>
    <t>dewafia96@gmail.com</t>
  </si>
  <si>
    <t>UNIVERSITAS ISLAM NEGERI SUNAN GUNUNG DJATI</t>
  </si>
  <si>
    <t>Pendidikan Fisika</t>
  </si>
  <si>
    <t>DBP02000601</t>
  </si>
  <si>
    <t xml:space="preserve">GRACE IMMANUELA OKTAVIANUS </t>
  </si>
  <si>
    <t>gracehipgra0408@gmail.com</t>
  </si>
  <si>
    <t xml:space="preserve">Pendidikan Bahasa Inggris </t>
  </si>
  <si>
    <t>DBP02000602</t>
  </si>
  <si>
    <t>NI KADEK KORITA DEWI</t>
  </si>
  <si>
    <t>BANGLI</t>
  </si>
  <si>
    <t>kadekkorita@gmail.com</t>
  </si>
  <si>
    <t>DBP02000603</t>
  </si>
  <si>
    <t>NOVERANDO RAFIEL ANGELO</t>
  </si>
  <si>
    <t>noverandoverdo123@gmail.com</t>
  </si>
  <si>
    <t>DBP02000604</t>
  </si>
  <si>
    <t>SHOLEHATUL MOKHAROMAH</t>
  </si>
  <si>
    <t>sholehatulmokharomah@gmail.com</t>
  </si>
  <si>
    <t>DBP02000605</t>
  </si>
  <si>
    <t>JOSEPHINE KRISTIANA RIANTI SONI</t>
  </si>
  <si>
    <t>josephinekrstiana@gmail.com</t>
  </si>
  <si>
    <t>DBP02000606</t>
  </si>
  <si>
    <t>BIANCA BUNGA CINTA DEWI</t>
  </si>
  <si>
    <t>biancabunga28@gmail.com</t>
  </si>
  <si>
    <t xml:space="preserve">Kebidanan </t>
  </si>
  <si>
    <t>DBP02000607</t>
  </si>
  <si>
    <t>MUHAMMAD NAUFAL HAMDANI</t>
  </si>
  <si>
    <t>naufalhamdani@gmail.com</t>
  </si>
  <si>
    <t>akuntansi dan manajemen</t>
  </si>
  <si>
    <t>DBP02000608</t>
  </si>
  <si>
    <t>EDO CAHYA SUKARNO BATISTUTA</t>
  </si>
  <si>
    <t>21044000020@student.unmer.ac.id</t>
  </si>
  <si>
    <t>DBP02000609</t>
  </si>
  <si>
    <t>FRANSISKA APRODITE A</t>
  </si>
  <si>
    <t>fransiskaprodite@gmail.com</t>
  </si>
  <si>
    <t>DBP02000610</t>
  </si>
  <si>
    <t>MOCH. ARIL ASYHARI PUTRA</t>
  </si>
  <si>
    <t>arilaz322@gmail.com</t>
  </si>
  <si>
    <t>Teknik sipil</t>
  </si>
  <si>
    <t>DBP02000611</t>
  </si>
  <si>
    <t>SOLEH HUDA</t>
  </si>
  <si>
    <t>WONOSOBO</t>
  </si>
  <si>
    <t>solehhuda1922@gmail.com</t>
  </si>
  <si>
    <t>DBP02000612</t>
  </si>
  <si>
    <t>MUTIARA SANI INAYAH</t>
  </si>
  <si>
    <t>mutiara.saniinayah@gmail.com</t>
  </si>
  <si>
    <t>DBP02000613</t>
  </si>
  <si>
    <t>FRANSISCA VICTORY KUSUMANINGRUM</t>
  </si>
  <si>
    <t>fransiscavictory169@gmail.com</t>
  </si>
  <si>
    <t>Bioteknologi</t>
  </si>
  <si>
    <t>DBP02000614</t>
  </si>
  <si>
    <t>ARINI MEGA PUSPITA</t>
  </si>
  <si>
    <t>arinimp18@gmail.com</t>
  </si>
  <si>
    <t>DBP02000615</t>
  </si>
  <si>
    <t>CUT NYA’ SAVIRA</t>
  </si>
  <si>
    <t>SIGLI</t>
  </si>
  <si>
    <t>cnsavira@gmail.com</t>
  </si>
  <si>
    <t>Profesi Dokter Gigi</t>
  </si>
  <si>
    <t>DBP02000616</t>
  </si>
  <si>
    <t>ATRAS YONDA FARIZI</t>
  </si>
  <si>
    <t>LUMAJANG</t>
  </si>
  <si>
    <t>atrasfarizi02@gmail.com</t>
  </si>
  <si>
    <t>DBP02000617</t>
  </si>
  <si>
    <t>JOY LAURA ANGELICA SARAGIH</t>
  </si>
  <si>
    <t>joylauraangelica29@gmail.com</t>
  </si>
  <si>
    <t>Accounting Technology</t>
  </si>
  <si>
    <t>DBP02000618</t>
  </si>
  <si>
    <t>NATASHYA</t>
  </si>
  <si>
    <t>GUNUNGSITOLI</t>
  </si>
  <si>
    <t>natashyachu28@gmail.com</t>
  </si>
  <si>
    <t>International Business Management</t>
  </si>
  <si>
    <t>DBP02000619</t>
  </si>
  <si>
    <t>FAISHAL AHMAD ARBI</t>
  </si>
  <si>
    <t>faishalahmadarbi@gmail.com</t>
  </si>
  <si>
    <t>Biokimia</t>
  </si>
  <si>
    <t>DBP02000620</t>
  </si>
  <si>
    <t>DIVA ALDIRA WIJAYA</t>
  </si>
  <si>
    <t>divawijaya27@gmail.com</t>
  </si>
  <si>
    <t>DBP02000621</t>
  </si>
  <si>
    <t>RYANDA ADIGUNA</t>
  </si>
  <si>
    <t>ryanda.adiguna@gmail.com</t>
  </si>
  <si>
    <t>DBP02000622</t>
  </si>
  <si>
    <t>NYUNDIA GIAN FITRI ANGGRAENI</t>
  </si>
  <si>
    <t>nyundiagfa@gmail.com</t>
  </si>
  <si>
    <t>DBP02000623</t>
  </si>
  <si>
    <t>ALFINA ADELLA CAHYADI PUTRI</t>
  </si>
  <si>
    <t>alfinadella1152@gmail.com</t>
  </si>
  <si>
    <t>ILMU KOMUNIKASI</t>
  </si>
  <si>
    <t>DBP02000624</t>
  </si>
  <si>
    <t>FITRA NURINDRA</t>
  </si>
  <si>
    <t>fitra.nurindra@gmail.com</t>
  </si>
  <si>
    <t>DBP02000625</t>
  </si>
  <si>
    <t>DIMAS ANUGERAHA BAYHAQQI</t>
  </si>
  <si>
    <t>dimasbayhaqqi@gmail.com</t>
  </si>
  <si>
    <t>DBP02000626</t>
  </si>
  <si>
    <t>ANDIKA DWIPARANA SUHERMAN NATAWIRIA</t>
  </si>
  <si>
    <t>andikadwiparana@gmail.com</t>
  </si>
  <si>
    <t>DBP02000627</t>
  </si>
  <si>
    <t>FRISCA IMANUEL SURYADI</t>
  </si>
  <si>
    <t>friscaimanuel7803@gmail.com</t>
  </si>
  <si>
    <t>DBP02000628</t>
  </si>
  <si>
    <t>KEVIN MUSA KARUNIA SURJA</t>
  </si>
  <si>
    <t>kevinmusak2205@gmail.com</t>
  </si>
  <si>
    <t>DBP02000629</t>
  </si>
  <si>
    <t>KIRANA SANDA</t>
  </si>
  <si>
    <t>rkiranasanda@gmail.com</t>
  </si>
  <si>
    <t>DBP02000630</t>
  </si>
  <si>
    <t>ALIFIA AINUR RIZKI</t>
  </si>
  <si>
    <t>BALIKPAPAN</t>
  </si>
  <si>
    <t>alifiaainurr9@gmail.com</t>
  </si>
  <si>
    <t>Ilmu Rekayasa</t>
  </si>
  <si>
    <t>DBP02000631</t>
  </si>
  <si>
    <t>NADIRA DWIYANTI BR KARO</t>
  </si>
  <si>
    <t>TANJUNGBALAI</t>
  </si>
  <si>
    <t>nadira892@gmail.com</t>
  </si>
  <si>
    <t>DBP02000632</t>
  </si>
  <si>
    <t>SHANNIE</t>
  </si>
  <si>
    <t>shanniechung@gmail.com</t>
  </si>
  <si>
    <t>DBP02000633</t>
  </si>
  <si>
    <t>GANIS ALVIANI YUBASTIAN</t>
  </si>
  <si>
    <t>gyubastian@gmail.com</t>
  </si>
  <si>
    <t>DBP02000634</t>
  </si>
  <si>
    <t>MICHELE A. SABRINA SIANIPAR</t>
  </si>
  <si>
    <t>adelynmichele@gmail.com</t>
  </si>
  <si>
    <t>DBP02000635</t>
  </si>
  <si>
    <t>MUHAMMAD APRIA SANDI</t>
  </si>
  <si>
    <t>KANDANGAN</t>
  </si>
  <si>
    <t>muhammadapriasandi@gmail.com</t>
  </si>
  <si>
    <t>DBP02000636</t>
  </si>
  <si>
    <t>CANDRA TOGI</t>
  </si>
  <si>
    <t>BONTANG</t>
  </si>
  <si>
    <t>togicandra@gmail.com</t>
  </si>
  <si>
    <t>POLITEKNIK NEGERI SAMARINDA</t>
  </si>
  <si>
    <t>DBP02000637</t>
  </si>
  <si>
    <t>NATASYA ISTIQOMAH RIZKY ADLI</t>
  </si>
  <si>
    <t>natasyaistiqomahrizkyadli@gmail.com</t>
  </si>
  <si>
    <t>DBP02000638</t>
  </si>
  <si>
    <t>TSAMARA NURUL FU'ADA</t>
  </si>
  <si>
    <t>PADANG PANJANG</t>
  </si>
  <si>
    <t>tsamarapanda@gmail.com</t>
  </si>
  <si>
    <t>hama dan penyakit tumbuhan</t>
  </si>
  <si>
    <t>DBP02000639</t>
  </si>
  <si>
    <t>AULIA FIRDAUS BRILLIANTI</t>
  </si>
  <si>
    <t>afbrillianti@gmail.com</t>
  </si>
  <si>
    <t>DBP02000640</t>
  </si>
  <si>
    <t>DIYU MANTARI</t>
  </si>
  <si>
    <t>diyu.mantari11@gmail.com</t>
  </si>
  <si>
    <t>DBP02000641</t>
  </si>
  <si>
    <t>ADJIE JOYO KERTO</t>
  </si>
  <si>
    <t>adjiejoyo@gmail.com</t>
  </si>
  <si>
    <t>DBP02000642</t>
  </si>
  <si>
    <t>MUHAMAD RIDHO</t>
  </si>
  <si>
    <t>ridhom1945@gmail.com</t>
  </si>
  <si>
    <t>DBP02000643</t>
  </si>
  <si>
    <t>TAUFIQ KURNIAWAN</t>
  </si>
  <si>
    <t>iewancoy@gmail.com</t>
  </si>
  <si>
    <t xml:space="preserve">SISTEM INFORMASI </t>
  </si>
  <si>
    <t>DBP02000644</t>
  </si>
  <si>
    <t>THERESIA PUTRI GINTING</t>
  </si>
  <si>
    <t>theresiaputrig@gmail.com</t>
  </si>
  <si>
    <t>Hukum &amp; Komunikasi</t>
  </si>
  <si>
    <t>DBP02000645</t>
  </si>
  <si>
    <t>ELLIANO HASATU</t>
  </si>
  <si>
    <t>ellianohasatu3@gmail.com</t>
  </si>
  <si>
    <t>DBP02000646</t>
  </si>
  <si>
    <t>ADRAJID KASTEN</t>
  </si>
  <si>
    <t>YAINUELO</t>
  </si>
  <si>
    <t>adrajid285@gmail.com</t>
  </si>
  <si>
    <t>UNIVERSITAS KHAIRUN</t>
  </si>
  <si>
    <t>DBP02000647</t>
  </si>
  <si>
    <t>MUHAMAD YAFI BAGUS ANTASENA</t>
  </si>
  <si>
    <t>BUMIAYU</t>
  </si>
  <si>
    <t>senna11690@gmail.com</t>
  </si>
  <si>
    <t>DBP02000648</t>
  </si>
  <si>
    <t>FIKY YUDHISTIRA</t>
  </si>
  <si>
    <t xml:space="preserve">PEKANBARU </t>
  </si>
  <si>
    <t>fikyudhistira@gmail.com</t>
  </si>
  <si>
    <t>DBP02000649</t>
  </si>
  <si>
    <t>FADHLI OKTAVIAN NUGRAHA</t>
  </si>
  <si>
    <t>fadhli.o.nugraha@gmail.com</t>
  </si>
  <si>
    <t>Pendidikan Ilmu Komputer</t>
  </si>
  <si>
    <t>DBP02000650</t>
  </si>
  <si>
    <t>ACHMAD ZAM ZAM AS SIDIQ</t>
  </si>
  <si>
    <t>zammisidiq77@gmail.com</t>
  </si>
  <si>
    <t>DBP02000651</t>
  </si>
  <si>
    <t>ROMANISAH</t>
  </si>
  <si>
    <t>romanisah90@gmail.com</t>
  </si>
  <si>
    <t>Pendidikan agama Islam</t>
  </si>
  <si>
    <t>DBP02000652</t>
  </si>
  <si>
    <t>AMI SILMIA</t>
  </si>
  <si>
    <t>aminas0368@gmail.com</t>
  </si>
  <si>
    <t>Pendidikan Guru Madrasah Ibtidaiyah</t>
  </si>
  <si>
    <t>DBP02000653</t>
  </si>
  <si>
    <t>RAISHA AZ ZAHRA</t>
  </si>
  <si>
    <t>raishaazzhr@gmail.com</t>
  </si>
  <si>
    <t>DBP02000654</t>
  </si>
  <si>
    <t>FUAD MUSTHOLAHUL FALAH</t>
  </si>
  <si>
    <t>fuadmustholahul@gmail.com</t>
  </si>
  <si>
    <t>DBP02000655</t>
  </si>
  <si>
    <t>MUHAMMAD ADRIL MAULANA</t>
  </si>
  <si>
    <t>adrilmaulana16@gmail.com</t>
  </si>
  <si>
    <t>DBP02000656</t>
  </si>
  <si>
    <t>DELLA LUCKY</t>
  </si>
  <si>
    <t>dellalucky02@gmail.com</t>
  </si>
  <si>
    <t>DBP02000657</t>
  </si>
  <si>
    <t>KADEK DWI PRABAWA</t>
  </si>
  <si>
    <t>KAYUPUTIH</t>
  </si>
  <si>
    <t>dwiprabawa16@gmail.com</t>
  </si>
  <si>
    <t>DBP02000658</t>
  </si>
  <si>
    <t>EDY SISWANTO</t>
  </si>
  <si>
    <t>edysis.kds@gmail.com</t>
  </si>
  <si>
    <t>DBP02000659</t>
  </si>
  <si>
    <t>MARSELINUS SONA LASTONO</t>
  </si>
  <si>
    <t>marselsona123@gmail.com</t>
  </si>
  <si>
    <t>DBP02000660</t>
  </si>
  <si>
    <t>SAM HANAYA MALAHAYATI FAJRI</t>
  </si>
  <si>
    <t>shmf82@gmail.com</t>
  </si>
  <si>
    <t>DBP02000661</t>
  </si>
  <si>
    <t>MUHAMMAD MAGHFUR</t>
  </si>
  <si>
    <t>ilmaghfur@gmail.com</t>
  </si>
  <si>
    <t>Manajemen Zakat dan Wakaf</t>
  </si>
  <si>
    <t>DBP02000662</t>
  </si>
  <si>
    <t>ZULFAN THARIQ MUHAMMAD</t>
  </si>
  <si>
    <t>zthariq00@gmail.com</t>
  </si>
  <si>
    <t>DBP02000663</t>
  </si>
  <si>
    <t>AMANDAFANNY SILVIANA PUTRI</t>
  </si>
  <si>
    <t>amandafannysilviana@gmail.com</t>
  </si>
  <si>
    <t>DBP02000664</t>
  </si>
  <si>
    <t>YUNITA ERNIAJAN</t>
  </si>
  <si>
    <t>yunitaerniazan@gmail.com</t>
  </si>
  <si>
    <t>Rekayasa Sistem Komputer</t>
  </si>
  <si>
    <t>DBP02000665</t>
  </si>
  <si>
    <t>WENDY RABIVIANI</t>
  </si>
  <si>
    <t>wendyrabiviani@gmail.com</t>
  </si>
  <si>
    <t>akuntansi</t>
  </si>
  <si>
    <t>DBP02000666</t>
  </si>
  <si>
    <t>MUHAMMAD ALWAN FILLAH</t>
  </si>
  <si>
    <t>afillah4@gmail.com</t>
  </si>
  <si>
    <t>Syari'ah &amp; Hukum</t>
  </si>
  <si>
    <t>DBP02000667</t>
  </si>
  <si>
    <t>AYUNDA ALIFIYA DAMAYANTHI</t>
  </si>
  <si>
    <t>ayundaalifiya23@gmail.com</t>
  </si>
  <si>
    <t>Pendidikan Luar Sekolah</t>
  </si>
  <si>
    <t>DBP02000668</t>
  </si>
  <si>
    <t>HELEN FRANSISKA</t>
  </si>
  <si>
    <t>SUNGAI RAYA PONTIANAK</t>
  </si>
  <si>
    <t>helenfransiska04@gmail.com</t>
  </si>
  <si>
    <t>DBP02000669</t>
  </si>
  <si>
    <t>DBP02000670</t>
  </si>
  <si>
    <t>BAYU PRATAMA SETYANTO</t>
  </si>
  <si>
    <t>bayups213@gmail.com</t>
  </si>
  <si>
    <t>DBP02000671</t>
  </si>
  <si>
    <t>I PUTU GALANG DHARMA PUTRA S.</t>
  </si>
  <si>
    <t>galangdps@gmail.com</t>
  </si>
  <si>
    <t>DBP02000672</t>
  </si>
  <si>
    <t>MEERANDA AMABELL</t>
  </si>
  <si>
    <t>PANGKALPINANG</t>
  </si>
  <si>
    <t>meerandaamabell@gmail.com</t>
  </si>
  <si>
    <t>DBP02000673</t>
  </si>
  <si>
    <t>NI LUH PUTU MUTIARA UTAMI SANJAYA</t>
  </si>
  <si>
    <t>sanjayamutiara@gmail.com</t>
  </si>
  <si>
    <t>UNIVERSITAS WARMADEWA</t>
  </si>
  <si>
    <t>DBP02000674</t>
  </si>
  <si>
    <t>JAYANTI RAUF</t>
  </si>
  <si>
    <t>BITUNG</t>
  </si>
  <si>
    <t>jayantirauf111@gmail.com</t>
  </si>
  <si>
    <t>UNIVERSITAS NEGERI GORONTALO</t>
  </si>
  <si>
    <t>DBP02000675</t>
  </si>
  <si>
    <t>ANDRE STEVAN MASIHOR</t>
  </si>
  <si>
    <t>masihorandre@gmail.com</t>
  </si>
  <si>
    <t>DBP02000676</t>
  </si>
  <si>
    <t>NATASYA RISALDA</t>
  </si>
  <si>
    <t>KOTO ALAM</t>
  </si>
  <si>
    <t>natasyarisalda@gmail.com</t>
  </si>
  <si>
    <t>Pendidikan Khusus</t>
  </si>
  <si>
    <t>DBP02000677</t>
  </si>
  <si>
    <t>MEILY</t>
  </si>
  <si>
    <t>SANGGAU</t>
  </si>
  <si>
    <t>mei123ly@gmail.com</t>
  </si>
  <si>
    <t>DBP02000678</t>
  </si>
  <si>
    <t>MUHAMMAD HAIDAR IS CONORAS</t>
  </si>
  <si>
    <t>JAYAPURA</t>
  </si>
  <si>
    <t>haidarconoras2001@gmail.com</t>
  </si>
  <si>
    <t>Ilmu Sosial dan Ilmu Komunikasi</t>
  </si>
  <si>
    <t>DBP02000679</t>
  </si>
  <si>
    <t>ANTHONIUS</t>
  </si>
  <si>
    <t>anthoniuskosasih@gmail.com</t>
  </si>
  <si>
    <t>DBP02000680</t>
  </si>
  <si>
    <t>WATERHOUSE NG</t>
  </si>
  <si>
    <t>waterhouseng3003@gmail.com</t>
  </si>
  <si>
    <t>DBP02000681</t>
  </si>
  <si>
    <t>RYAN JONATHAN</t>
  </si>
  <si>
    <t>SUNGAI KERAN</t>
  </si>
  <si>
    <t>ryanjonathan8819@gmail.com</t>
  </si>
  <si>
    <t>DBP02000682</t>
  </si>
  <si>
    <t>ISMAWATY KASIM</t>
  </si>
  <si>
    <t>TELAGA, KAB. GORONTALO</t>
  </si>
  <si>
    <t>29ismawaty@gmail.com</t>
  </si>
  <si>
    <t>DBP02000683</t>
  </si>
  <si>
    <t xml:space="preserve">HESTY PRATIWI </t>
  </si>
  <si>
    <t>hestytiwi7@gmail.com</t>
  </si>
  <si>
    <t>DBP02000684</t>
  </si>
  <si>
    <t>SARJON ADARANI</t>
  </si>
  <si>
    <t>BATUDAA</t>
  </si>
  <si>
    <t>7/10/0088</t>
  </si>
  <si>
    <t>sarjonadarani123@gmail.com</t>
  </si>
  <si>
    <t>Ilmu Hukum Kemasyarakatan</t>
  </si>
  <si>
    <t>DBP02000685</t>
  </si>
  <si>
    <t>NI NYOMAN RAHAYU SAVITRI TENAYA</t>
  </si>
  <si>
    <t>rahayusavitri01@gmail.com</t>
  </si>
  <si>
    <t>DBP02000686</t>
  </si>
  <si>
    <t>MEGA AGUSTIWI MOHI</t>
  </si>
  <si>
    <t>GORONTALO</t>
  </si>
  <si>
    <t>megaagustiwi@gmail.com</t>
  </si>
  <si>
    <t>Olahraga dan Kesehatan</t>
  </si>
  <si>
    <t>DBP02000687</t>
  </si>
  <si>
    <t xml:space="preserve">NURWAHID LIPOETO </t>
  </si>
  <si>
    <t>TAHUNA</t>
  </si>
  <si>
    <t>nurwahidlipoeto@gmail.com</t>
  </si>
  <si>
    <t>DBP02000688</t>
  </si>
  <si>
    <t>MACHIO TAMBAYONG</t>
  </si>
  <si>
    <t>TOLITOLI</t>
  </si>
  <si>
    <t>machiot11@gmail.com</t>
  </si>
  <si>
    <t>DBP02000689</t>
  </si>
  <si>
    <t>NICO SANJAYA</t>
  </si>
  <si>
    <t>nicosanjaya1512@gmail.com</t>
  </si>
  <si>
    <t>DBP02000690</t>
  </si>
  <si>
    <t>JOVAN HARYA PANDITA</t>
  </si>
  <si>
    <t>jovanhp1@gmail.com</t>
  </si>
  <si>
    <t>DBP02000691</t>
  </si>
  <si>
    <t>RIO TAUFIK ANSORI</t>
  </si>
  <si>
    <t>GARUT</t>
  </si>
  <si>
    <t>riotaufikansr@gmail.com</t>
  </si>
  <si>
    <t>DBP02000692</t>
  </si>
  <si>
    <t>M.SHOLEH</t>
  </si>
  <si>
    <t>dewalupepenuhcinta@gmail.com</t>
  </si>
  <si>
    <t>DBP02000693</t>
  </si>
  <si>
    <t>KOMANG RIANTI ARISTA PERMATASARI</t>
  </si>
  <si>
    <t>aristapermata1312@gmail.com</t>
  </si>
  <si>
    <t>DBP02000694</t>
  </si>
  <si>
    <t>DAFFANSKA RANUANDY PRABU CHILAYASA</t>
  </si>
  <si>
    <t>daffanskachilayasa@gmail.com</t>
  </si>
  <si>
    <t xml:space="preserve">Ilmu Kesejahteraan Sosial </t>
  </si>
  <si>
    <t>DBP02000695</t>
  </si>
  <si>
    <t>FERI HARYONO</t>
  </si>
  <si>
    <t>feriharryono@gmail.com</t>
  </si>
  <si>
    <t>DBP02000696</t>
  </si>
  <si>
    <t>GHIVAHRI SIDIK MOKOAGOW</t>
  </si>
  <si>
    <t>KOTAMOBAGU</t>
  </si>
  <si>
    <t>vahrimokoagow@gmail.com</t>
  </si>
  <si>
    <t>DBP02000697</t>
  </si>
  <si>
    <t>I WAYAN RAKA OKA DIRAKA</t>
  </si>
  <si>
    <t>rakaokadiraka@gmail.com</t>
  </si>
  <si>
    <t>DBP02000698</t>
  </si>
  <si>
    <t>HANNY ATALIE D</t>
  </si>
  <si>
    <t>had2work12@gmail.com</t>
  </si>
  <si>
    <t>DBP02000699</t>
  </si>
  <si>
    <t>TIFANI DIAHNISA HARDIANTI</t>
  </si>
  <si>
    <t>hardiantitifani@gmail.com</t>
  </si>
  <si>
    <t>DBP02000700</t>
  </si>
  <si>
    <t>SURIYANAH HIKMAH</t>
  </si>
  <si>
    <t>suriyanahhikmah1992@gmail.com</t>
  </si>
  <si>
    <t>DBP02000701</t>
  </si>
  <si>
    <t>WIWIN APRILIA</t>
  </si>
  <si>
    <t>wiwinapril184@gmail.com</t>
  </si>
  <si>
    <t>DBP02000702</t>
  </si>
  <si>
    <t>IVAN MAULANA</t>
  </si>
  <si>
    <t>maulanaivan09@gmail.com</t>
  </si>
  <si>
    <t>DBP02000703</t>
  </si>
  <si>
    <t>IKA ULFA HARINI</t>
  </si>
  <si>
    <t>ikaulfaharini28@gmail.com</t>
  </si>
  <si>
    <t>Pendidikan ekonomi akuntansi</t>
  </si>
  <si>
    <t>DBP02000704</t>
  </si>
  <si>
    <t>NI KADEK ALLIN PRATIWI</t>
  </si>
  <si>
    <t>NEGARA</t>
  </si>
  <si>
    <t>allinpratiwi01@gmail.com</t>
  </si>
  <si>
    <t>DBP02000705</t>
  </si>
  <si>
    <t>UNSA KAMILA SHOLIHA</t>
  </si>
  <si>
    <t>unsakamilas@gmail.com</t>
  </si>
  <si>
    <t>DBP02000706</t>
  </si>
  <si>
    <t>NUR FITRI WAHYUNI</t>
  </si>
  <si>
    <t>MEMPAWAH</t>
  </si>
  <si>
    <t>nrftrwhyn@gmail.com</t>
  </si>
  <si>
    <t>DBP02000707</t>
  </si>
  <si>
    <t>KIKI NOVIANTY</t>
  </si>
  <si>
    <t>kino99.kn@gmail.com</t>
  </si>
  <si>
    <t>DBP02000708</t>
  </si>
  <si>
    <t>KARINA ARSILIYA</t>
  </si>
  <si>
    <t>arsiliya@gmail.com</t>
  </si>
  <si>
    <t>DBP02000709</t>
  </si>
  <si>
    <t>HAJAROTIN NAIROH</t>
  </si>
  <si>
    <t>TANJUNG KARANG</t>
  </si>
  <si>
    <t>hori.geh@gmail.com</t>
  </si>
  <si>
    <t>DBP02000710</t>
  </si>
  <si>
    <t>RINJANI PANGESTU</t>
  </si>
  <si>
    <t>pangestu.rinjani@gmail.com</t>
  </si>
  <si>
    <t>DBP02000711</t>
  </si>
  <si>
    <t>PROBO SUTEJO</t>
  </si>
  <si>
    <t>GUNUNG SUGIH</t>
  </si>
  <si>
    <t>p.sutejo99@gmail.com</t>
  </si>
  <si>
    <t>Manajemen Keuangan</t>
  </si>
  <si>
    <t>DBP02000712</t>
  </si>
  <si>
    <t>RAIHAN DZAKWAN AMAJID</t>
  </si>
  <si>
    <t>raihand1996@gmail.com</t>
  </si>
  <si>
    <t>DBP02000713</t>
  </si>
  <si>
    <t>DODI WISDIANSYAH</t>
  </si>
  <si>
    <t>dodi.wisdiansyah@gmail.com</t>
  </si>
  <si>
    <t>DBP02000714</t>
  </si>
  <si>
    <t>ALFIAN HARIDA MAULANA</t>
  </si>
  <si>
    <t>alfian.harida.maulana@gmail.com</t>
  </si>
  <si>
    <t>DBP02000715</t>
  </si>
  <si>
    <t xml:space="preserve">ANNISA INTAN KUMALASARI </t>
  </si>
  <si>
    <t xml:space="preserve">SURAKARTA </t>
  </si>
  <si>
    <t>k.annisaintan@gmail.com</t>
  </si>
  <si>
    <t>Desain</t>
  </si>
  <si>
    <t>DBP02000716</t>
  </si>
  <si>
    <t>DEIANA SUHERLAN</t>
  </si>
  <si>
    <t>deianasuherlan@gmail.com</t>
  </si>
  <si>
    <t>DBP02000717</t>
  </si>
  <si>
    <t>DYAH AYU PURBASARI</t>
  </si>
  <si>
    <t>dyahayupurbasari9@gmail.com</t>
  </si>
  <si>
    <t>Bahasa dan Seni</t>
  </si>
  <si>
    <t>DBP02000718</t>
  </si>
  <si>
    <t>DAVID CHRISTIAN ANUGERAH</t>
  </si>
  <si>
    <t>davidchristiananugerah@gmail.com</t>
  </si>
  <si>
    <t>SEKOLAH TINGGI ILMU EKONOMI MALANGKUCECWARA</t>
  </si>
  <si>
    <t>DBP02000719</t>
  </si>
  <si>
    <t>CELLINE CLAUDIA</t>
  </si>
  <si>
    <t>celineclaudiar18@gmail.com</t>
  </si>
  <si>
    <t>DBP02000720</t>
  </si>
  <si>
    <t>ELVINA ZAHRAH RAMADHINA</t>
  </si>
  <si>
    <t>elvinazahrahr@gmail.com</t>
  </si>
  <si>
    <t>DBP02000721</t>
  </si>
  <si>
    <t>GOUVANLEX RIUSTOPO</t>
  </si>
  <si>
    <t>gvanlex93@gmail.com</t>
  </si>
  <si>
    <t>DBP02000722</t>
  </si>
  <si>
    <t xml:space="preserve">AQILAH ZALSABILLA MARZUKI </t>
  </si>
  <si>
    <t xml:space="preserve">MAKASSAR </t>
  </si>
  <si>
    <t>aqilasalsabilamarzuki@gmail.com</t>
  </si>
  <si>
    <t xml:space="preserve">Kesehatan Masyarakat </t>
  </si>
  <si>
    <t>DBP02000723</t>
  </si>
  <si>
    <t>GOKU SYAHLIDI</t>
  </si>
  <si>
    <t>ARUNG PARAK</t>
  </si>
  <si>
    <t>gokusyahlidiii@gmail.com</t>
  </si>
  <si>
    <t>DBP02000724</t>
  </si>
  <si>
    <t>AHMAD FAJRUDDIN SYAUQI</t>
  </si>
  <si>
    <t>LAMONGAN</t>
  </si>
  <si>
    <t>fajrudinsauqi@gmail.com</t>
  </si>
  <si>
    <t>DBP02000725</t>
  </si>
  <si>
    <t>FIRTYA KINANTI RAMADHINI</t>
  </si>
  <si>
    <t>kireyteriaisme@gmail.com</t>
  </si>
  <si>
    <t>DBP02000726</t>
  </si>
  <si>
    <t>LINDA SEPTIANI SEBIANTO</t>
  </si>
  <si>
    <t>lindaseptianisebianto041@gmail.com</t>
  </si>
  <si>
    <t>DBP02000727</t>
  </si>
  <si>
    <t>FARAH RISHA FADHILAH</t>
  </si>
  <si>
    <t>rifhara19@gmail.com</t>
  </si>
  <si>
    <t>DBP02000728</t>
  </si>
  <si>
    <t>MOHAMMAD NABIL ROHMAN</t>
  </si>
  <si>
    <t>nabilrohman10@gmail.com</t>
  </si>
  <si>
    <t>Teknologi Kelautan</t>
  </si>
  <si>
    <t>DBP02000729</t>
  </si>
  <si>
    <t>NI MADE CISTA SAVITRI DHARMAPATNI</t>
  </si>
  <si>
    <t>cistasavv@gmail.com</t>
  </si>
  <si>
    <t>DBP02000730</t>
  </si>
  <si>
    <t>JOSUA ORLANDO MANURUNG</t>
  </si>
  <si>
    <t>josuaorlandoman@gmail.com</t>
  </si>
  <si>
    <t>DBP02000731</t>
  </si>
  <si>
    <t>PANDU PRATAMA NUR WICAKSANA</t>
  </si>
  <si>
    <t>pandupratamanur@gmail.com</t>
  </si>
  <si>
    <t>DBP02000732</t>
  </si>
  <si>
    <t>SITI QOMARIYAH</t>
  </si>
  <si>
    <t>qo2m.gerak11@gmail.com</t>
  </si>
  <si>
    <t>DBP02000733</t>
  </si>
  <si>
    <t>REVA ALI AKMAL</t>
  </si>
  <si>
    <t>revaakmal97@gmail.com</t>
  </si>
  <si>
    <t>Ilmu Kelautan</t>
  </si>
  <si>
    <t>DBP02000734</t>
  </si>
  <si>
    <t>YONDA SHAFA SALSABILA</t>
  </si>
  <si>
    <t xml:space="preserve">TULUNGAGUNG </t>
  </si>
  <si>
    <t>shafayonda@gmail.com</t>
  </si>
  <si>
    <t>Fakultas Teknik Sipil Perencanaan dan Kebumian</t>
  </si>
  <si>
    <t>DBP02000735</t>
  </si>
  <si>
    <t>IZZAH KHALIF RAIHAN ABIDIN</t>
  </si>
  <si>
    <t>ik.raihanabidin@gmail.com</t>
  </si>
  <si>
    <t>DBP02000736</t>
  </si>
  <si>
    <t>REZA MEIFIA FITRA</t>
  </si>
  <si>
    <t>rezamfitra@gmail.com</t>
  </si>
  <si>
    <t>DBP02000737</t>
  </si>
  <si>
    <t>LUCKY CHRISTIAN</t>
  </si>
  <si>
    <t>luckychristian1122@gmail.com</t>
  </si>
  <si>
    <t>DBP02000738</t>
  </si>
  <si>
    <t>SHONADA ARSY</t>
  </si>
  <si>
    <t>arsynada8@gmail.com</t>
  </si>
  <si>
    <t>DBP02000739</t>
  </si>
  <si>
    <t xml:space="preserve">MASDAUD </t>
  </si>
  <si>
    <t>MAMUJU</t>
  </si>
  <si>
    <t>masdaud11semart@gmail.com</t>
  </si>
  <si>
    <t>UNIVERSITAS SULAWESI BARAT</t>
  </si>
  <si>
    <t xml:space="preserve">Peternakan dan Perikanan </t>
  </si>
  <si>
    <t>Akuakultur</t>
  </si>
  <si>
    <t>DBP02000740</t>
  </si>
  <si>
    <t>ANGELINA ELFRIDA WIBOWO</t>
  </si>
  <si>
    <t>angelinawibowo24@gmail.com</t>
  </si>
  <si>
    <t>DBP02000741</t>
  </si>
  <si>
    <t>AIKS SHOFIA ZAM ZAMI</t>
  </si>
  <si>
    <t>aikszamzami03@gmail.com</t>
  </si>
  <si>
    <t>DBP02000742</t>
  </si>
  <si>
    <t>ANNISA ARTANTI WIDYADHANA</t>
  </si>
  <si>
    <t>annisaartanti77@gmail.com</t>
  </si>
  <si>
    <t>DBP02000743</t>
  </si>
  <si>
    <t>BAYU LUKY ISTANTO</t>
  </si>
  <si>
    <t>lukybayu@gmail.com</t>
  </si>
  <si>
    <t>Teknologi Game</t>
  </si>
  <si>
    <t>DBP02000744</t>
  </si>
  <si>
    <t>SALSA AJENG KIRANA</t>
  </si>
  <si>
    <t>salsa.kirana@gmail.com</t>
  </si>
  <si>
    <t>Pendidikan Profesi Dokter Hewan</t>
  </si>
  <si>
    <t>DBP02000745</t>
  </si>
  <si>
    <t>FIRMAN WAHYU MAHENDRA</t>
  </si>
  <si>
    <t>firmanwm2@gmail.com</t>
  </si>
  <si>
    <t>DBP02000746</t>
  </si>
  <si>
    <t>ARI EKO WIBOWO</t>
  </si>
  <si>
    <t>ekoari811@gmail.com</t>
  </si>
  <si>
    <t>Bimbingan dan Konseling</t>
  </si>
  <si>
    <t>DBP02000747</t>
  </si>
  <si>
    <t>M. ADHITYA AGUNG DHARMAWAN</t>
  </si>
  <si>
    <t>aditagungdharma13@gmail.com</t>
  </si>
  <si>
    <t>DBP02000748</t>
  </si>
  <si>
    <t>VIRDA VERONICA</t>
  </si>
  <si>
    <t>virdaveronica08@gmail.com</t>
  </si>
  <si>
    <t>DBP02000749</t>
  </si>
  <si>
    <t>MONICA MAUDI SUNDARA</t>
  </si>
  <si>
    <t>monicamaudi2121@gmail.com</t>
  </si>
  <si>
    <t>DBP02000750</t>
  </si>
  <si>
    <t>TSANYA EL KARIMA</t>
  </si>
  <si>
    <t>tsanyaelkarima@gmail.com</t>
  </si>
  <si>
    <t>DBP02000751</t>
  </si>
  <si>
    <t>MUALLIM</t>
  </si>
  <si>
    <t xml:space="preserve">MALLARI </t>
  </si>
  <si>
    <t>muallimakademik@gmail.com</t>
  </si>
  <si>
    <t>DBP02000752</t>
  </si>
  <si>
    <t>LATIFAH</t>
  </si>
  <si>
    <t>latifahlatifah9606@gmail.com</t>
  </si>
  <si>
    <t>Tadris Bahasa Inggris</t>
  </si>
  <si>
    <t>DBP02000753</t>
  </si>
  <si>
    <t>FINA DWI SEPTIANA</t>
  </si>
  <si>
    <t>fdseptiana@gmail.com</t>
  </si>
  <si>
    <t>Pendidikan Bahasa dan Sastra Indonesia</t>
  </si>
  <si>
    <t>DBP02000754</t>
  </si>
  <si>
    <t>ANNISA ANGGITA LARASATI</t>
  </si>
  <si>
    <t xml:space="preserve">KABUPATEN SEMARANG </t>
  </si>
  <si>
    <t>larasatianggi07@gmail.com</t>
  </si>
  <si>
    <t>DBP02000755</t>
  </si>
  <si>
    <t>BONDAN SATRIA PAULUS</t>
  </si>
  <si>
    <t>bondansatria16aug@gmail.com</t>
  </si>
  <si>
    <t>DBP02000756</t>
  </si>
  <si>
    <t>LAURENTIUS VENNOCK PARLINDUNGAN SIHOMBING</t>
  </si>
  <si>
    <t>laurenvennock@gmail.com</t>
  </si>
  <si>
    <t>Ilmu Ekonomi</t>
  </si>
  <si>
    <t>DBP02000757</t>
  </si>
  <si>
    <t>RIA KUSUMA</t>
  </si>
  <si>
    <t>ria.kusumaa97@gmail.com</t>
  </si>
  <si>
    <t>DBP02000758</t>
  </si>
  <si>
    <t>GRAHA GANINDRA GOUTAMA</t>
  </si>
  <si>
    <t>ganindra_gg@yahoo.com</t>
  </si>
  <si>
    <t>DBP02000759</t>
  </si>
  <si>
    <t>ADE ANUGRAH RAMADHAN</t>
  </si>
  <si>
    <t>adeanugrahramadhan@gmail.com</t>
  </si>
  <si>
    <t>DBP02000760</t>
  </si>
  <si>
    <t>BERNADUS BANI SETIAWAN</t>
  </si>
  <si>
    <t>banibernadus@gmail.com</t>
  </si>
  <si>
    <t>DBP02000761</t>
  </si>
  <si>
    <t>CHITA CINDY NATALIA</t>
  </si>
  <si>
    <t>chitacindyn@gmail.com</t>
  </si>
  <si>
    <t>Akuntansi dan Manajemen</t>
  </si>
  <si>
    <t>DBP02000762</t>
  </si>
  <si>
    <t>DEA ANANDA HADYATI PUTRI</t>
  </si>
  <si>
    <t>deaanandahp@gmail.com</t>
  </si>
  <si>
    <t>DBP02000763</t>
  </si>
  <si>
    <t>SARRAH ANNISA MUHAJIRIN</t>
  </si>
  <si>
    <t>annisasarrah@gmail.com</t>
  </si>
  <si>
    <t>DBP02000764</t>
  </si>
  <si>
    <t>IVAN EFFENDY</t>
  </si>
  <si>
    <t>ivaneffendy888@gmail.com</t>
  </si>
  <si>
    <t>DBP02000765</t>
  </si>
  <si>
    <t>MICHAEL NATHANAEL KURNIAWAN</t>
  </si>
  <si>
    <t>michaelnk553@gmail.com</t>
  </si>
  <si>
    <t>Fakultas Teknik dan Desain</t>
  </si>
  <si>
    <t>DBP02000766</t>
  </si>
  <si>
    <t>HILMAN FAUZAN</t>
  </si>
  <si>
    <t>hilmanfaoezan@gmail.com</t>
  </si>
  <si>
    <t>DBP02000767</t>
  </si>
  <si>
    <t>ZUL KIPLI</t>
  </si>
  <si>
    <t>LUWU</t>
  </si>
  <si>
    <t>zulprofesional@gmail.com</t>
  </si>
  <si>
    <t>Ilmu Keolahragaan</t>
  </si>
  <si>
    <t>Pendidikan Jasmani Kesehatan dan Rekreasi</t>
  </si>
  <si>
    <t>DBP02000768</t>
  </si>
  <si>
    <t xml:space="preserve">SRI HANA JALILAH </t>
  </si>
  <si>
    <t>srihanajalilah02@gmail.com</t>
  </si>
  <si>
    <t xml:space="preserve">Manajemen </t>
  </si>
  <si>
    <t>DBP02000769</t>
  </si>
  <si>
    <t>ZHAFIRA ALYA BINTARI PUTRI</t>
  </si>
  <si>
    <t>BANJARNEGARA</t>
  </si>
  <si>
    <t>zhafiraalya11@gmail.com</t>
  </si>
  <si>
    <t>Teknologi Informasi dan Komunikasi</t>
  </si>
  <si>
    <t>DBP02000770</t>
  </si>
  <si>
    <t>I PUTU RADITYA ARSADERA</t>
  </si>
  <si>
    <t>radityaarsadera@gmail.com</t>
  </si>
  <si>
    <t>DBP02000771</t>
  </si>
  <si>
    <t>ANGELINA FERAWATY SIREGAR</t>
  </si>
  <si>
    <t>siregar.angelina@gmail.com</t>
  </si>
  <si>
    <t>DBP02000772</t>
  </si>
  <si>
    <t xml:space="preserve">ASSABIGUNAL AWWALUN </t>
  </si>
  <si>
    <t xml:space="preserve">KOTA SUKABUMI </t>
  </si>
  <si>
    <t>aawwalun46@gmail.com</t>
  </si>
  <si>
    <t>DBP02000773</t>
  </si>
  <si>
    <t>PUTRANTY WIDHA NUGRAHENI</t>
  </si>
  <si>
    <t>putrantyw@gmail.com</t>
  </si>
  <si>
    <t>Pendidikan Kimia</t>
  </si>
  <si>
    <t>DBP02000774</t>
  </si>
  <si>
    <t>MUHAMMAD ULIL ABSHOR</t>
  </si>
  <si>
    <t>PEKALONGAN</t>
  </si>
  <si>
    <t>m.ulilabshor01@gmail.com</t>
  </si>
  <si>
    <t>Fakultas Ilmu Tarbiyah dan Keguruan</t>
  </si>
  <si>
    <t>Manajemen Pendidikan Islam</t>
  </si>
  <si>
    <t>DBP02000775</t>
  </si>
  <si>
    <t xml:space="preserve">DEA SHINTA WULANDARI </t>
  </si>
  <si>
    <t xml:space="preserve">PALEMBANG </t>
  </si>
  <si>
    <t>deashintagumay@gmail.com</t>
  </si>
  <si>
    <t xml:space="preserve">Science </t>
  </si>
  <si>
    <t xml:space="preserve">Biologi </t>
  </si>
  <si>
    <t>DBP02000776</t>
  </si>
  <si>
    <t>GITA KARINA</t>
  </si>
  <si>
    <t>TAMBUNAN</t>
  </si>
  <si>
    <t>gitakarina92@gmail.com</t>
  </si>
  <si>
    <t>Pariwisata</t>
  </si>
  <si>
    <t>Industri Perjalanan Wisata</t>
  </si>
  <si>
    <t>DBP02000777</t>
  </si>
  <si>
    <t>ARI SETIAWAN</t>
  </si>
  <si>
    <t>arisetiawan52@gmail.com</t>
  </si>
  <si>
    <t>DBP02000778</t>
  </si>
  <si>
    <t>SARTIKA P NUR</t>
  </si>
  <si>
    <t>sartikap.nur@gmail.com</t>
  </si>
  <si>
    <t>Sastra dan Budaya</t>
  </si>
  <si>
    <t>DBP02000779</t>
  </si>
  <si>
    <t>SILVANA PANIGORO</t>
  </si>
  <si>
    <t>silvanapanigoro2015@gmail.com</t>
  </si>
  <si>
    <t>DBP02000780</t>
  </si>
  <si>
    <t>RAMADHAN MANGOPA</t>
  </si>
  <si>
    <t>KABUPATEN GORONTALO</t>
  </si>
  <si>
    <t>ramadhanmangopa23@gmail.com</t>
  </si>
  <si>
    <t>DBP02000781</t>
  </si>
  <si>
    <t>SITI HARDIANTI BAWENTI</t>
  </si>
  <si>
    <t>TELAGA, GORONTALO</t>
  </si>
  <si>
    <t>dianbawenti1@gmail.com</t>
  </si>
  <si>
    <t>DBP02000782</t>
  </si>
  <si>
    <t>I PUTU ARIS SUARDIMAS PRADNYA WINATA</t>
  </si>
  <si>
    <t>winataaris909@gmail.com</t>
  </si>
  <si>
    <t>DBP02000783</t>
  </si>
  <si>
    <t>SITI KHAIRUZIA LAZUWARDINI</t>
  </si>
  <si>
    <t>khairuzia@gmail.com</t>
  </si>
  <si>
    <t>DBP02000784</t>
  </si>
  <si>
    <t>TIFFANNY RYANICA NABILA</t>
  </si>
  <si>
    <t>tiffbilla@gmail.com</t>
  </si>
  <si>
    <t>Akuntansi Syariah</t>
  </si>
  <si>
    <t>DBP02000785</t>
  </si>
  <si>
    <t>HANSEL FEBRIAN</t>
  </si>
  <si>
    <t>hanselfebrian@gmail.com</t>
  </si>
  <si>
    <t>DBP02000786</t>
  </si>
  <si>
    <t>HANSEL ALEXANDER</t>
  </si>
  <si>
    <t>hanselalexandertop@gmail.com</t>
  </si>
  <si>
    <t>DBP02000787</t>
  </si>
  <si>
    <t>MICHAELLA IVANA SULISTIO</t>
  </si>
  <si>
    <t>MAGELANG</t>
  </si>
  <si>
    <t>michaellaivana1000@gmail.com</t>
  </si>
  <si>
    <t>DBP02000788</t>
  </si>
  <si>
    <t>320437170850001</t>
  </si>
  <si>
    <t>rocky85.bdg@gmail.com</t>
  </si>
  <si>
    <t>Pendidikan Bahasa dan Seni</t>
  </si>
  <si>
    <t>Pendidikan Bahasa Prancis</t>
  </si>
  <si>
    <t>DBP02000789</t>
  </si>
  <si>
    <t>KATARINA INEZITA PRAMBUDI</t>
  </si>
  <si>
    <t>inezitakatarina16@gmail.com</t>
  </si>
  <si>
    <t>Teknologi Elektro dan Informatika Cerdas</t>
  </si>
  <si>
    <t>DBP02000790</t>
  </si>
  <si>
    <t>MOCHAMMAD RIFQI MUBAARAK</t>
  </si>
  <si>
    <t>moch.rifqimubaarak@gmail.com</t>
  </si>
  <si>
    <t>DBP02000791</t>
  </si>
  <si>
    <t>IRSYAD RIDWANY</t>
  </si>
  <si>
    <t>CIAMIS</t>
  </si>
  <si>
    <t>irsyad.ridwany@gmail.com</t>
  </si>
  <si>
    <t>DBP02000792</t>
  </si>
  <si>
    <t>ICA JUNIARTI</t>
  </si>
  <si>
    <t>SUNGAI PINYUH</t>
  </si>
  <si>
    <t>icajuniarti74@gmail.com</t>
  </si>
  <si>
    <t>Kehutanan</t>
  </si>
  <si>
    <t xml:space="preserve">Managemaen Hutan </t>
  </si>
  <si>
    <t>DBP02000793</t>
  </si>
  <si>
    <t>ARIF IHSAN RAHMAN</t>
  </si>
  <si>
    <t>arif.beswandjarum26@gmail.com</t>
  </si>
  <si>
    <t>DBP02000794</t>
  </si>
  <si>
    <t>PUTRI MULYANI HIDAYATI</t>
  </si>
  <si>
    <t>putri.mh173@gmail.com</t>
  </si>
  <si>
    <t>Tadris Matematika</t>
  </si>
  <si>
    <t>DBP02000795</t>
  </si>
  <si>
    <t>IRENE UTAMI</t>
  </si>
  <si>
    <t>ireneutami95@gmail.com</t>
  </si>
  <si>
    <t>DBP02000796</t>
  </si>
  <si>
    <t>RAFLI KHARISMA</t>
  </si>
  <si>
    <t>raflikharisma87@gmail.com</t>
  </si>
  <si>
    <t>DBP02000797</t>
  </si>
  <si>
    <t>ZULFIKAR NIODE</t>
  </si>
  <si>
    <t xml:space="preserve">MANADO </t>
  </si>
  <si>
    <t>niodefikar555@gmail.com</t>
  </si>
  <si>
    <t>DBP02000798</t>
  </si>
  <si>
    <t>RIKRIK FUAD WAHAB</t>
  </si>
  <si>
    <t>rikrikfuadwahab@gmail.com</t>
  </si>
  <si>
    <t>DBP02000799</t>
  </si>
  <si>
    <t>THERESIA VINANDA NOVITA SARI</t>
  </si>
  <si>
    <t>nanda2002.cjcc@gmail.com</t>
  </si>
  <si>
    <t>Matematika dan Ilmu Pengetahuan Alam</t>
  </si>
  <si>
    <t>DBP02000800</t>
  </si>
  <si>
    <t xml:space="preserve">SALBIA SALSABILA MULKI </t>
  </si>
  <si>
    <t>CIANJUR, 26 NOVEMBER 1999</t>
  </si>
  <si>
    <t>salbiasalsabilamulki@gmail.com</t>
  </si>
  <si>
    <t>DBP02000801</t>
  </si>
  <si>
    <t>SANIA PUJIANTI</t>
  </si>
  <si>
    <t>SAMBAS</t>
  </si>
  <si>
    <t>sania.pujianti1307@gmail.com</t>
  </si>
  <si>
    <t>DBP02000802</t>
  </si>
  <si>
    <t>DANIEL ANUGERAH</t>
  </si>
  <si>
    <t>danielanugerah26@gmail.com</t>
  </si>
  <si>
    <t>DBP02000803</t>
  </si>
  <si>
    <t xml:space="preserve">REGINA AULIA SARI </t>
  </si>
  <si>
    <t>MUBA</t>
  </si>
  <si>
    <t>reginaauliaa10@gmail.com</t>
  </si>
  <si>
    <t>Lainnya</t>
  </si>
  <si>
    <t>kedokteran gigi</t>
  </si>
  <si>
    <t>DBP02000804</t>
  </si>
  <si>
    <t>I GEDE MADE PASTIKA SEMARA PUTRA</t>
  </si>
  <si>
    <t>BADUNG</t>
  </si>
  <si>
    <t>samasamaind.id@gmail.com</t>
  </si>
  <si>
    <t>ADMINISTRASI NEGARA</t>
  </si>
  <si>
    <t>DBP02000805</t>
  </si>
  <si>
    <t>CHRISTINE NATALIE WAKKARY</t>
  </si>
  <si>
    <t>nataliewakkary@gmail.com</t>
  </si>
  <si>
    <t>DBP02000806</t>
  </si>
  <si>
    <t>ACHMAD RIVAL NORMAN SYAH</t>
  </si>
  <si>
    <t>rivalnormansyah1@gmail.com</t>
  </si>
  <si>
    <t>DBP02000807</t>
  </si>
  <si>
    <t>ALESSANDRO MANUEL WIJAYA</t>
  </si>
  <si>
    <t>alessandrowijaya03@gmail.com</t>
  </si>
  <si>
    <t>DBP02000808</t>
  </si>
  <si>
    <t>SANJAYA HARTONO PERMADI</t>
  </si>
  <si>
    <t>caksanjaya01@gmail.com</t>
  </si>
  <si>
    <t>Teknik Sistem Perkapalan</t>
  </si>
  <si>
    <t>DBP02000809</t>
  </si>
  <si>
    <t>YUSUF EFENDI</t>
  </si>
  <si>
    <t>yus.7efen@gmail.com</t>
  </si>
  <si>
    <t>DBP02000810</t>
  </si>
  <si>
    <t>JEREMI ANGGI SIAGIAN</t>
  </si>
  <si>
    <t>jeremianggi@gmail.com</t>
  </si>
  <si>
    <t>DBP02000811</t>
  </si>
  <si>
    <t>LA ODE MUHAMMAD ARWAN HALIDUN</t>
  </si>
  <si>
    <t>RAHA</t>
  </si>
  <si>
    <t>odearwanarchhalidun@gmail.com</t>
  </si>
  <si>
    <t>DBP02000812</t>
  </si>
  <si>
    <t>MUHAMMAD ALVIRIZA RAMADHAN</t>
  </si>
  <si>
    <t>dienalvira@gmail.com</t>
  </si>
  <si>
    <t>DBP02000813</t>
  </si>
  <si>
    <t>SORAYYA KHAIRUN NISA</t>
  </si>
  <si>
    <t>HULU SUNGAI SELATAN</t>
  </si>
  <si>
    <t>sorayyakhairunnisa1@gmail.com</t>
  </si>
  <si>
    <t>DBP02000814</t>
  </si>
  <si>
    <t>DANIEL ONNY SETIYOKO</t>
  </si>
  <si>
    <t xml:space="preserve">SURABAYA </t>
  </si>
  <si>
    <t>daniel.onny12@gmail.com</t>
  </si>
  <si>
    <t>Perikanan dan Kelautan</t>
  </si>
  <si>
    <t>Budidaya perairan</t>
  </si>
  <si>
    <t>DBP02000815</t>
  </si>
  <si>
    <t>EVI INTANITA ADELIANA</t>
  </si>
  <si>
    <t>eviadeliana@gmail.com</t>
  </si>
  <si>
    <t>DBP02000816</t>
  </si>
  <si>
    <t xml:space="preserve">NABIL MUHAMMAD PRAYOGA </t>
  </si>
  <si>
    <t>nabilprayoga23@gmail.com</t>
  </si>
  <si>
    <t>DBP02000817</t>
  </si>
  <si>
    <t>TIARA OCTA FHATIANA</t>
  </si>
  <si>
    <t>tiaraoctafhatiana21@gmail.com</t>
  </si>
  <si>
    <t>DBP02000818</t>
  </si>
  <si>
    <t>NI NYOMAN GALUH SRIWEDARI</t>
  </si>
  <si>
    <t xml:space="preserve">DENPASAR </t>
  </si>
  <si>
    <t>wedari.galuh@gmail.com</t>
  </si>
  <si>
    <t>DBP02000819</t>
  </si>
  <si>
    <t>NISFANI SYAHRIEN</t>
  </si>
  <si>
    <t>nisfanisyahrien@gmail.com</t>
  </si>
  <si>
    <t>DBP02000820</t>
  </si>
  <si>
    <t>RAHMANI</t>
  </si>
  <si>
    <t>rahmanirahma2003@gmail.com</t>
  </si>
  <si>
    <t>DBP02000821</t>
  </si>
  <si>
    <t>ANITA RATNASARI</t>
  </si>
  <si>
    <t>tokorizkybunda@gmail.com</t>
  </si>
  <si>
    <t>DBP02000822</t>
  </si>
  <si>
    <t>MUHAMAD DANIAL SUMA</t>
  </si>
  <si>
    <t>danial.suma2000@gmail.com</t>
  </si>
  <si>
    <t>DBP02000823</t>
  </si>
  <si>
    <t>ANTON SOLEH HUDIN</t>
  </si>
  <si>
    <t>anton.solehudin@gmail.com</t>
  </si>
  <si>
    <t>DBP02000824</t>
  </si>
  <si>
    <t>DIRGA ACHMAD</t>
  </si>
  <si>
    <t>RAPPANG</t>
  </si>
  <si>
    <t>dirgaachmadyasin@gmail.com</t>
  </si>
  <si>
    <t>DBP02000825</t>
  </si>
  <si>
    <t>AGNES PUTRI NUGROHO</t>
  </si>
  <si>
    <t>agnesputriapn@gmail.com</t>
  </si>
  <si>
    <t>DBP02000826</t>
  </si>
  <si>
    <t>ABDUL HAFID</t>
  </si>
  <si>
    <t>LOLAK</t>
  </si>
  <si>
    <t>coc.hafid@gmail.com</t>
  </si>
  <si>
    <t>Sastra Dan Budaya</t>
  </si>
  <si>
    <t>DBP02000827</t>
  </si>
  <si>
    <t>MUHAMMAD ILHAM NURHANTONO</t>
  </si>
  <si>
    <t>BANTU;</t>
  </si>
  <si>
    <t>muhamadilhaamm@gmail.com</t>
  </si>
  <si>
    <t>Ilmu Sosial dan Humaniora</t>
  </si>
  <si>
    <t>DBP02000828</t>
  </si>
  <si>
    <t>KOSASIH, LEONY</t>
  </si>
  <si>
    <t>nykokosasih@gmail.com</t>
  </si>
  <si>
    <t>DBP02000829</t>
  </si>
  <si>
    <t>RIFKA ANNISA</t>
  </si>
  <si>
    <t>CAMBA</t>
  </si>
  <si>
    <t>rifkaannisaja@gmail.com</t>
  </si>
  <si>
    <t>DBP02000830</t>
  </si>
  <si>
    <t xml:space="preserve">FERDINA ULFI MAUDIA </t>
  </si>
  <si>
    <t>ferdina.maudya@gmail.com</t>
  </si>
  <si>
    <t>DBP02000831</t>
  </si>
  <si>
    <t>ISABELLA MARIANA</t>
  </si>
  <si>
    <t>theresiaisabella01@gmail.com</t>
  </si>
  <si>
    <t>DBP02000832</t>
  </si>
  <si>
    <t>NYOMAN AYU NIKEN PERTIWI</t>
  </si>
  <si>
    <t>ARGA MAKMUR</t>
  </si>
  <si>
    <t>ayuniken1301@gmail.com</t>
  </si>
  <si>
    <t>Pendidikan Biologi</t>
  </si>
  <si>
    <t>DBP02000833</t>
  </si>
  <si>
    <t>NI WAYAN ANGGI PRADNYANINGSIH</t>
  </si>
  <si>
    <t>anggipradnyaningsih99@gmail.com</t>
  </si>
  <si>
    <t>DBP02000834</t>
  </si>
  <si>
    <t xml:space="preserve">IMAM FIKRI HAIKAL </t>
  </si>
  <si>
    <t>imam.fikri41@gmail.com</t>
  </si>
  <si>
    <t>DBP02000835</t>
  </si>
  <si>
    <t xml:space="preserve">SITTI DELFIANA UNO </t>
  </si>
  <si>
    <t xml:space="preserve">GORONTALO </t>
  </si>
  <si>
    <t>sitiuno@gmail.com</t>
  </si>
  <si>
    <t xml:space="preserve">Fakultas Sastra dan Budaya </t>
  </si>
  <si>
    <t>DBP02000836</t>
  </si>
  <si>
    <t>JOTANA KASSAPA</t>
  </si>
  <si>
    <t>kassapajotana@gmail.com</t>
  </si>
  <si>
    <t>DBP02000837</t>
  </si>
  <si>
    <t xml:space="preserve">MEIRZA PUTRI LIANDHIE </t>
  </si>
  <si>
    <t>meirzaliandhie@gmail.com</t>
  </si>
  <si>
    <t>DBP02000838</t>
  </si>
  <si>
    <t>SHENNY OKTORIANA</t>
  </si>
  <si>
    <t>shenny.oktoriana@faperta.untan.ac.id</t>
  </si>
  <si>
    <t>Sosial Ekonomi Pertanian</t>
  </si>
  <si>
    <t>DBP02000839</t>
  </si>
  <si>
    <t>PRAMUDYA ADIAMARTA</t>
  </si>
  <si>
    <t>pramudya784@gmail.com</t>
  </si>
  <si>
    <t>Dakwah dan Komunikasi</t>
  </si>
  <si>
    <t>Komunikasi dan Penyiaran Islam</t>
  </si>
  <si>
    <t>DBP02000840</t>
  </si>
  <si>
    <t>NIKO SEPTIAN KRESNO NUGROHO</t>
  </si>
  <si>
    <t>nikosept14@gmail.com</t>
  </si>
  <si>
    <t>DBP02000841</t>
  </si>
  <si>
    <t>FENI SUFUIANA THEWELIS</t>
  </si>
  <si>
    <t>fenisufuiana@gmail.com</t>
  </si>
  <si>
    <t>DBP02000842</t>
  </si>
  <si>
    <t>RATNA IMANI</t>
  </si>
  <si>
    <t>inamiantar@gmail.com</t>
  </si>
  <si>
    <t>Pendidikan Bahasa Jawa</t>
  </si>
  <si>
    <t>DBP02000843</t>
  </si>
  <si>
    <t>AZIZAH MAHIRAH RIZKI</t>
  </si>
  <si>
    <t>aniaazizah01@gmail.com</t>
  </si>
  <si>
    <t>DBP02000844</t>
  </si>
  <si>
    <t>NIKOLAS WIARYA PUTRA</t>
  </si>
  <si>
    <t>nikolaswiaryaputra@gmail.com</t>
  </si>
  <si>
    <t>DBP02000845</t>
  </si>
  <si>
    <t>VANYA ARDELIA AUGUSTASYA</t>
  </si>
  <si>
    <t>vanyaardeliaa@gmail.com</t>
  </si>
  <si>
    <t>DBP02000846</t>
  </si>
  <si>
    <t>PRIMA VITRA VARECHA</t>
  </si>
  <si>
    <t>primafitra53@gmail.com</t>
  </si>
  <si>
    <t>DBP02000847</t>
  </si>
  <si>
    <t>MALIK AGUNG RAMADHAN</t>
  </si>
  <si>
    <t>malikramadhan67@gmail.com</t>
  </si>
  <si>
    <t>DBP02000848</t>
  </si>
  <si>
    <t>ZAKY AN NABIL</t>
  </si>
  <si>
    <t>BARUKKU</t>
  </si>
  <si>
    <t>zakynabil511@gmail.com</t>
  </si>
  <si>
    <t>DBP02000849</t>
  </si>
  <si>
    <t>RIBKA KRISTANTI SOEGIHARTO</t>
  </si>
  <si>
    <t>ribka.soegiharto@gmail.com</t>
  </si>
  <si>
    <t>DBP02000850</t>
  </si>
  <si>
    <t>NI LUH EKA SEVIA AGUSTINI</t>
  </si>
  <si>
    <t>ekacrew99@gmail.com</t>
  </si>
  <si>
    <t>DBP02000851</t>
  </si>
  <si>
    <t>IDA BAGUS SIDIK PRAWIRA MAHENDRA</t>
  </si>
  <si>
    <t>BIAK IRJA</t>
  </si>
  <si>
    <t>prawirasidik@gmail.com</t>
  </si>
  <si>
    <t>DBP02000852</t>
  </si>
  <si>
    <t>REGINA AMANDA FAMARETHA</t>
  </si>
  <si>
    <t>reginaamanda159@gmail.com</t>
  </si>
  <si>
    <t>D4-Akuntansi</t>
  </si>
  <si>
    <t>DBP02000853</t>
  </si>
  <si>
    <t>KADEK BINTANG INDAH LESTARI</t>
  </si>
  <si>
    <t>KLUNGKUNG</t>
  </si>
  <si>
    <t>bintangsonexoticforever@gmail.com</t>
  </si>
  <si>
    <t>DBP02000854</t>
  </si>
  <si>
    <t>TIARA PERMATA ASRI</t>
  </si>
  <si>
    <t>tiarapermataasri@gmail.com</t>
  </si>
  <si>
    <t>DBP02000855</t>
  </si>
  <si>
    <t>GANDIS AULIA SYAHIRAH</t>
  </si>
  <si>
    <t>auliagandis@gmail.com</t>
  </si>
  <si>
    <t>Sastra Cina</t>
  </si>
  <si>
    <t>DBP02000856</t>
  </si>
  <si>
    <t>AISYAH WIDIA PRAMESTU</t>
  </si>
  <si>
    <t>widiaaisyah22@gmail.com</t>
  </si>
  <si>
    <t>DBP02000857</t>
  </si>
  <si>
    <t>RIAN HIDAYAT</t>
  </si>
  <si>
    <t>SUKABUMI</t>
  </si>
  <si>
    <t>rianhidayat9151@gmail.com</t>
  </si>
  <si>
    <t>UNIVERSITAS BANGKA BELITUNG</t>
  </si>
  <si>
    <t>Sains dan Teknik</t>
  </si>
  <si>
    <t>DBP02000858</t>
  </si>
  <si>
    <t>RAYHAN LINTANG BAGAS YUANEZRA</t>
  </si>
  <si>
    <t>rayhan.yuanezra@gmail.com</t>
  </si>
  <si>
    <t>Teknologi Multimedia Kreatif</t>
  </si>
  <si>
    <t>DBP02000859</t>
  </si>
  <si>
    <t xml:space="preserve">PUTRA UMAR MAKRUP ROMADANI </t>
  </si>
  <si>
    <t>putraumar_20p346@mn.unjani.ac.id</t>
  </si>
  <si>
    <t xml:space="preserve">Ekonomi dan Bisnis </t>
  </si>
  <si>
    <t>DBP02000860</t>
  </si>
  <si>
    <t>DIMAS SURYA MAHENDRA WIJAYANTO</t>
  </si>
  <si>
    <t>hijauhendra@gmail.com</t>
  </si>
  <si>
    <t>PERIKANAN DAN KELAUTAN</t>
  </si>
  <si>
    <t>DBP02000861</t>
  </si>
  <si>
    <t>RIVANO ARDIYAN TAUFIQ KURNIAWAN</t>
  </si>
  <si>
    <t>SRAGEN</t>
  </si>
  <si>
    <t>rivano.atk@gmail.com</t>
  </si>
  <si>
    <t>DBP02000862</t>
  </si>
  <si>
    <t>VANNESS HALIM</t>
  </si>
  <si>
    <t>vannesshalim12@gmail.com</t>
  </si>
  <si>
    <t>DBP02000863</t>
  </si>
  <si>
    <t>YANUAR AGUNG FADLULLAH</t>
  </si>
  <si>
    <t>REMBANG</t>
  </si>
  <si>
    <t>yanuaragung.2020@student.uny.ac.id</t>
  </si>
  <si>
    <t>DBP02000864</t>
  </si>
  <si>
    <t>CATHARINA KRISSANTI SARITA DEWI</t>
  </si>
  <si>
    <t>catharina.krissanti@gmail.com</t>
  </si>
  <si>
    <t>DBP02000865</t>
  </si>
  <si>
    <t>RAY GUNAYES</t>
  </si>
  <si>
    <t>gunayes.ray@gmail.com</t>
  </si>
  <si>
    <t>DBP02000866</t>
  </si>
  <si>
    <t>AFIFI ATFI</t>
  </si>
  <si>
    <t>afifiatfi@gmail.com</t>
  </si>
  <si>
    <t>Fakultas kedokteran dan ilmu kesehata</t>
  </si>
  <si>
    <t>Kesehatan masyarakat</t>
  </si>
  <si>
    <t>DBP02000867</t>
  </si>
  <si>
    <t>AURELIA ASILAH ZAHRAH</t>
  </si>
  <si>
    <t>farelaz75@gmail.com</t>
  </si>
  <si>
    <t>DBP02000868</t>
  </si>
  <si>
    <t>KEZIA ABIGAIL MAHARANI THEODORIS</t>
  </si>
  <si>
    <t>keziatheodoris@gmail.com</t>
  </si>
  <si>
    <t>DBP02000869</t>
  </si>
  <si>
    <t>WILDAN ABDUL AZIZ</t>
  </si>
  <si>
    <t>wildancfc@gmail.com</t>
  </si>
  <si>
    <t>DBP02000870</t>
  </si>
  <si>
    <t>KEVIN ROY ARISTIA</t>
  </si>
  <si>
    <t>PEMALANG</t>
  </si>
  <si>
    <t>kevinroy544@gmail.com</t>
  </si>
  <si>
    <t>Manajemen Sumberdaya Perairan</t>
  </si>
  <si>
    <t>DBP02000871</t>
  </si>
  <si>
    <t>JESSICA WINDA PRIMA</t>
  </si>
  <si>
    <t>jessicawindaprima@gmail.com</t>
  </si>
  <si>
    <t>DBP02000872</t>
  </si>
  <si>
    <t>NUR INTAN PERMATASARI</t>
  </si>
  <si>
    <t>nurintan.2019@student.uny.ac.id</t>
  </si>
  <si>
    <t>DBP02000873</t>
  </si>
  <si>
    <t>VIVI ROSIAN RAHMADIKA RIANTO</t>
  </si>
  <si>
    <t>KULON PROGO</t>
  </si>
  <si>
    <t>vivirosianrahmadika@gmail.com</t>
  </si>
  <si>
    <t>DBP02000874</t>
  </si>
  <si>
    <t>FAUZI PRAJA RAHMAWAN</t>
  </si>
  <si>
    <t>fauzi.pr@gmail.com</t>
  </si>
  <si>
    <t>DBP02000875</t>
  </si>
  <si>
    <t>NI PUTU AMELINDA KARINA PUTRI</t>
  </si>
  <si>
    <t>amellindakarinaputri@gmail.com</t>
  </si>
  <si>
    <t>DBP02000876</t>
  </si>
  <si>
    <t>WAYAN WISTAWAN</t>
  </si>
  <si>
    <t>wayanprema88@gmail.com</t>
  </si>
  <si>
    <t>DBP02000877</t>
  </si>
  <si>
    <t>DBP02000878</t>
  </si>
  <si>
    <t>RIZKY PRATAM</t>
  </si>
  <si>
    <t>rizkypratamanovel@gmail.com</t>
  </si>
  <si>
    <t>Agroteknologi</t>
  </si>
  <si>
    <t>DBP02000879</t>
  </si>
  <si>
    <t>ARIEF SETYO NUGROHO</t>
  </si>
  <si>
    <t>ariefsetyo1@gmail.com</t>
  </si>
  <si>
    <t>DBP02000880</t>
  </si>
  <si>
    <t>FILASAFIA MARSYA MA’RIFAT</t>
  </si>
  <si>
    <t>filasafiamarsya@gmail.com</t>
  </si>
  <si>
    <t>DBP02000881</t>
  </si>
  <si>
    <t>THANIA PUSPA CANDRIKA PUTRI AJI</t>
  </si>
  <si>
    <t>thaniapuspa123@gmail.com</t>
  </si>
  <si>
    <t>Ilmu Administrasi Negara</t>
  </si>
  <si>
    <t>DBP02000882</t>
  </si>
  <si>
    <t>SINTIA WIDIA NINGSIH</t>
  </si>
  <si>
    <t>RENGAT</t>
  </si>
  <si>
    <t>sintiawidia68@gmail.com</t>
  </si>
  <si>
    <t>DBP02000883</t>
  </si>
  <si>
    <t>ZAINAL ABIDIN ACHMAD</t>
  </si>
  <si>
    <t>zabidina@gmail.com</t>
  </si>
  <si>
    <t>11 (1995/1996)</t>
  </si>
  <si>
    <t>DBP02000884</t>
  </si>
  <si>
    <t>NIAM ZAKI ZAMANI</t>
  </si>
  <si>
    <t>GROBOGAN</t>
  </si>
  <si>
    <t>niamzaki1@gmail.com</t>
  </si>
  <si>
    <t>DBP02000885</t>
  </si>
  <si>
    <t>BELTIAN HANNY PRIYATNA</t>
  </si>
  <si>
    <t>beltian93@gmail.com</t>
  </si>
  <si>
    <t>DBP02000886</t>
  </si>
  <si>
    <t>ILA ANDINI OKSELIA</t>
  </si>
  <si>
    <t>KOLAKA</t>
  </si>
  <si>
    <t>okselia.ila@gmail.com</t>
  </si>
  <si>
    <t>DBP02000887</t>
  </si>
  <si>
    <t>DICKI PANGESTU RAMADHAN</t>
  </si>
  <si>
    <t>dickipangestu17@gmail.com</t>
  </si>
  <si>
    <t>DBP02000888</t>
  </si>
  <si>
    <t>IVAN ALDINO HERNADIN</t>
  </si>
  <si>
    <t>ivanhernadin@gmail.com</t>
  </si>
  <si>
    <t>DBP02000889</t>
  </si>
  <si>
    <t>AUDREY RADINKA PUTRI</t>
  </si>
  <si>
    <t>audreydibka@gmail.com</t>
  </si>
  <si>
    <t>Ilmu Sosial dan Ilmu Budaya</t>
  </si>
  <si>
    <t>DBP02000890</t>
  </si>
  <si>
    <t>LINDA MUFARIDA</t>
  </si>
  <si>
    <t>lindamufarida7@gmail.com</t>
  </si>
  <si>
    <t>DBP02000891</t>
  </si>
  <si>
    <t>ADAM THARIIQ AL JIHAD</t>
  </si>
  <si>
    <t>adamthariqaljihad@gmail.com</t>
  </si>
  <si>
    <t>DBP02000892</t>
  </si>
  <si>
    <t>GUSTI TASYA MEILANIA</t>
  </si>
  <si>
    <t>BANJARBARU</t>
  </si>
  <si>
    <t>meilanitasya21@gmail.com</t>
  </si>
  <si>
    <t>DBP02000893</t>
  </si>
  <si>
    <t>RIFKA HUMAIDA</t>
  </si>
  <si>
    <t>rifkahumaida3@gmail.com</t>
  </si>
  <si>
    <t>DBP02000894</t>
  </si>
  <si>
    <t>PAULINA VINA SUTISNA</t>
  </si>
  <si>
    <t>paulinavina91@gmail.com</t>
  </si>
  <si>
    <t>Teknik informatika dan sains</t>
  </si>
  <si>
    <t>DBP02000895</t>
  </si>
  <si>
    <t>MOHAMMAD ALI FUDDIN</t>
  </si>
  <si>
    <t>mhalifuddin@gmail.com</t>
  </si>
  <si>
    <t>DBP02000896</t>
  </si>
  <si>
    <t>DBP02000897</t>
  </si>
  <si>
    <t>METTA PADMALIA</t>
  </si>
  <si>
    <t>metta.padmalia7@gmail.com</t>
  </si>
  <si>
    <t>DBP02000898</t>
  </si>
  <si>
    <t>GHIFARI RAMDHAN</t>
  </si>
  <si>
    <t>ghifariramdhan1@gmail.com</t>
  </si>
  <si>
    <t>DBP02000899</t>
  </si>
  <si>
    <t>RINA APRIANI</t>
  </si>
  <si>
    <t>rinaaprianichen@gmail.com</t>
  </si>
  <si>
    <t>DBP02000900</t>
  </si>
  <si>
    <t>FATIHA RAHMALITA FITRI</t>
  </si>
  <si>
    <t>fatihalita23@gmail.com</t>
  </si>
  <si>
    <t>DBP02000901</t>
  </si>
  <si>
    <t>AMANAH UTAMI NASRUN</t>
  </si>
  <si>
    <t>autaminasrun@gmail.com</t>
  </si>
  <si>
    <t>DBP02000902</t>
  </si>
  <si>
    <t>NITA YUDASARI YUSUF, S.H.</t>
  </si>
  <si>
    <t>SEGERI PANGKEP</t>
  </si>
  <si>
    <t>nitayudasari@gmail.com</t>
  </si>
  <si>
    <t>DBP02000903</t>
  </si>
  <si>
    <t>ELDWIN RONIUS PRATAMA</t>
  </si>
  <si>
    <t>roniuseldwin21@gmail.com</t>
  </si>
  <si>
    <t>Bisnis dan Ekonomika</t>
  </si>
  <si>
    <t>DBP02000904</t>
  </si>
  <si>
    <t>FAUZAN MUNTAZAR</t>
  </si>
  <si>
    <t>fauzanmtz@gmail.com</t>
  </si>
  <si>
    <t>DBP02000905</t>
  </si>
  <si>
    <t>EMMANUELA ANANDITA ANUGHRAYASA</t>
  </si>
  <si>
    <t>eanandita@gmail.com</t>
  </si>
  <si>
    <t>Program Studi Kedokteran dan Profesi Dokter</t>
  </si>
  <si>
    <t>DBP02000906</t>
  </si>
  <si>
    <t>BAGUS DERMAWAN SAPUTERA</t>
  </si>
  <si>
    <t>bagusdermawan243@gmail.com</t>
  </si>
  <si>
    <t>DBP02000907</t>
  </si>
  <si>
    <t>HASBI SHIDQI FAUZI</t>
  </si>
  <si>
    <t>hasbi.shidqi.fauzi@gmail.com</t>
  </si>
  <si>
    <t>DBP02000908</t>
  </si>
  <si>
    <t>HELENA LAURENCIA WIDJAJA</t>
  </si>
  <si>
    <t>helenaawidjajaa@gmail.com</t>
  </si>
  <si>
    <t>DBP02000909</t>
  </si>
  <si>
    <t>FREYA EMILY THERESIA TOMBOKAN</t>
  </si>
  <si>
    <t>TONDANO</t>
  </si>
  <si>
    <t>freyaemilytt20@gmail.com</t>
  </si>
  <si>
    <t>DBP02000910</t>
  </si>
  <si>
    <t>FARHAN RIZKY RAMADHAN</t>
  </si>
  <si>
    <t>rfarhanrizky21@gmail.com</t>
  </si>
  <si>
    <t>DBP02000911</t>
  </si>
  <si>
    <t>YUNITA HETY KUSUMAWATI</t>
  </si>
  <si>
    <t>nittanit13@gmail.com</t>
  </si>
  <si>
    <t>DBP02000912</t>
  </si>
  <si>
    <t>ADE TRI WIDODO</t>
  </si>
  <si>
    <t>adekwee@gmail.com</t>
  </si>
  <si>
    <t>DBP02000913</t>
  </si>
  <si>
    <t>RHEYNA SALSABILLA</t>
  </si>
  <si>
    <t>SUKOHARJO</t>
  </si>
  <si>
    <t>rheynaa113@gmail.com</t>
  </si>
  <si>
    <t>Psikologi dan Kesehatan</t>
  </si>
  <si>
    <t>DBP02000914</t>
  </si>
  <si>
    <t xml:space="preserve">RICKY CHRISTIAN </t>
  </si>
  <si>
    <t xml:space="preserve">CILEGON </t>
  </si>
  <si>
    <t>rickychristian413@gmail.com</t>
  </si>
  <si>
    <t>DBP02000915</t>
  </si>
  <si>
    <t>DBP02000916</t>
  </si>
  <si>
    <t>DWIGHT LYMAN IBNUR RIVANESA</t>
  </si>
  <si>
    <t>dwight.rivanesa@gmail.com</t>
  </si>
  <si>
    <t>DBP02000917</t>
  </si>
  <si>
    <t>SEKARLANGIT</t>
  </si>
  <si>
    <t>sekarlangittt@gmail.com</t>
  </si>
  <si>
    <t>GALIH AKBAR ISRA</t>
  </si>
  <si>
    <t>ILMU SOSIAL DAN ILMU POLITIK</t>
  </si>
  <si>
    <t>DKI JAKARTA</t>
  </si>
  <si>
    <t>JAKARTA TIMUR</t>
  </si>
  <si>
    <t>https://drive.google.com/file/d/1zVBOlgyUtAKe-q2OsRXc7BsCuk7MDRQc/view?usp=drivesdk</t>
  </si>
  <si>
    <t>linkedin.com/in/galihakbarisra</t>
  </si>
  <si>
    <t>MARKETING COMMUNICATION</t>
  </si>
  <si>
    <t>ENGGAL GROUP INDONESIA - PT MAKANAN SIAP MAKAN</t>
  </si>
  <si>
    <t>MENDENGARKAN MUSIK, MENONTON FILM DAN ACARA TELEVISI, BEROLAHRAGA (SEPERTI LARI, BERSEPEDA, YOGA, DAN LAINNYA), MENGEKSPLORASI KOTA ATAU TEMPAT-TEMPAT BARU</t>
  </si>
  <si>
    <t>KESENIAN VISUAL (MISALNYA LUKISAN, FOTOGRAFI, SENI DIGITAL), TEKNOLOGI DAN INOVASI, MUSIK (MENDENGARKAN, MEMAINKAN INSTRUMEN, PRODUKSI MUSIK), KESENIAN PERTUNJUKAN (TEATER, TARI, MUSIKAL), GAMING (PERMAINAN VIDEO, PERMAINAN PAPAN, PERMAINAN DARING), PEMBUATAN KONTEN DIGITAL (BLOGGING, VLOGGING, PODCASTING)</t>
  </si>
  <si>
    <t>KOMUNITAS URANG AWAK</t>
  </si>
  <si>
    <t>TIM KECHIL DIGITAL AGENCY - PT KECHIL DIGITAL KREATIF</t>
  </si>
  <si>
    <t>Digital agency yang bantu brand tampil standout di dunia online, connect sama audiens yang tepat, dan grow lebih cepat dengan strategi marketing yang relevan.</t>
  </si>
  <si>
    <t>KREATIF DAN SENI</t>
  </si>
  <si>
    <t>PADANG, SUMATERA BARAT</t>
  </si>
  <si>
    <t>on</t>
  </si>
  <si>
    <t>Timestamp</t>
  </si>
  <si>
    <t>Status</t>
  </si>
  <si>
    <t>Pending</t>
  </si>
  <si>
    <t>IKATAN ALUMNI DJARUM BEASISWA PLUS</t>
  </si>
  <si>
    <t>2025-11-29</t>
  </si>
  <si>
    <t>08123456789</t>
  </si>
  <si>
    <t>halo.ikadbp@gmail.co.id</t>
  </si>
  <si>
    <t>TEKNIK INFORMATIKA</t>
  </si>
  <si>
    <t>https://drive.google.com/file/d/1bbEjPePIqr7Wjazm0exVx3lZ5FgSzD70/view?usp=drivesdk</t>
  </si>
  <si>
    <t>PERTANIAN DAN PETERNAKAN</t>
  </si>
  <si>
    <t>ID Agenda</t>
  </si>
  <si>
    <t>Judul Kegiatan</t>
  </si>
  <si>
    <t>Tanggal</t>
  </si>
  <si>
    <t>Deskripsi Singkat</t>
  </si>
  <si>
    <t>Lokasi</t>
  </si>
  <si>
    <t>KT001</t>
  </si>
  <si>
    <t>Pemilu Ketua Umum</t>
  </si>
  <si>
    <t>Pemilihan Ketua Umum</t>
  </si>
  <si>
    <t>Zoom</t>
  </si>
  <si>
    <t>Tutup</t>
  </si>
  <si>
    <t>No WA</t>
  </si>
  <si>
    <t>Deskripsi</t>
  </si>
  <si>
    <t>Sukses</t>
  </si>
  <si>
    <t>Login OK</t>
  </si>
  <si>
    <t>Gagal</t>
  </si>
  <si>
    <t>Wrong PIN</t>
  </si>
  <si>
    <t>ikrimahtaufikhidayat@gmail.com</t>
  </si>
  <si>
    <t>Email not found</t>
  </si>
  <si>
    <t>hapinksihanti89@gmail.com</t>
  </si>
  <si>
    <t>Negara</t>
  </si>
  <si>
    <t>Provinsi</t>
  </si>
  <si>
    <t>ACEH</t>
  </si>
  <si>
    <t>IAIN KUDUS</t>
  </si>
  <si>
    <t>AKUNTANSI / KEUANGAN / PAJAK</t>
  </si>
  <si>
    <t>MAKANAN DAN MINUMAN</t>
  </si>
  <si>
    <t>PEMERINTAHAN / BUMN</t>
  </si>
  <si>
    <t>AFGANISTAN</t>
  </si>
  <si>
    <t>BALI</t>
  </si>
  <si>
    <t>ADMINISTRASI / SEKRETARIS</t>
  </si>
  <si>
    <t>AFRIKA SELATAN</t>
  </si>
  <si>
    <t>BANTEN</t>
  </si>
  <si>
    <t>ARSITEK / DESAIN INTERIOR</t>
  </si>
  <si>
    <t>PENDIDIKAN DAN PELATIHAN</t>
  </si>
  <si>
    <t>KESEHATAN / MEDIS</t>
  </si>
  <si>
    <t>ALBANIA</t>
  </si>
  <si>
    <t>DESAIN GRAFIS / MULTIMEDIA / KREATIF</t>
  </si>
  <si>
    <t>MODE DAN PAKAIAN</t>
  </si>
  <si>
    <t>TEKNOLOGI / IT / STARTUP</t>
  </si>
  <si>
    <t>ALJAZAIR</t>
  </si>
  <si>
    <t>DI YOGYAKARTA</t>
  </si>
  <si>
    <t>DOKTER / PERAWAT / TENAGA MEDIS</t>
  </si>
  <si>
    <t>AMERIKA SERIKAT</t>
  </si>
  <si>
    <t>TEKNOLOGI DAN DIGITAL</t>
  </si>
  <si>
    <t>ANDORRA</t>
  </si>
  <si>
    <t>INSTITUT TEKNOLOGI KALIMANTAN</t>
  </si>
  <si>
    <t>KONSTRUKSI DAN PROPERTI</t>
  </si>
  <si>
    <t>ENERGI / MIGAS / PERTAMBANGAN</t>
  </si>
  <si>
    <t>ANGOLA</t>
  </si>
  <si>
    <t>HUKUM / LEGAL / NOTARIS</t>
  </si>
  <si>
    <t>PENYEDIAAN BARANG DAN PELAYANAN</t>
  </si>
  <si>
    <t>ANTIGUA DAN BARBUDA</t>
  </si>
  <si>
    <t>JAWA BARAT</t>
  </si>
  <si>
    <t>HRD / PERSONALIA / REKRUTMEN</t>
  </si>
  <si>
    <t>MANUFAKTUR DAN PRODUKSI</t>
  </si>
  <si>
    <t>RETAIL / PERDAGANGAN / FMCG</t>
  </si>
  <si>
    <t>ARAB SAUDI</t>
  </si>
  <si>
    <t>JAWA TENGAH</t>
  </si>
  <si>
    <t>POLITEKNIK ELEKTRONIKA NEGERI SURABAYA</t>
  </si>
  <si>
    <t>IT / SOFTWARE / DATA</t>
  </si>
  <si>
    <t>ARGENTINA</t>
  </si>
  <si>
    <t>JAWA TIMUR</t>
  </si>
  <si>
    <t>JURNALIS / PENULIS / CONTENT</t>
  </si>
  <si>
    <t>KOMUNIKASI DAN MEDIA</t>
  </si>
  <si>
    <t>ARMENIA</t>
  </si>
  <si>
    <t>KALIMANTAN BARAT</t>
  </si>
  <si>
    <t>KONSULTAN / ANALIS</t>
  </si>
  <si>
    <t>KESEHATAN DAN KECANTIKAN</t>
  </si>
  <si>
    <t>PARIWISATA / HOTEL / F&amp;B</t>
  </si>
  <si>
    <t>AUSTRALIA</t>
  </si>
  <si>
    <t>KALIMANTAN SELATAN</t>
  </si>
  <si>
    <t>HIBURAN DAN REKREASI</t>
  </si>
  <si>
    <t>LOGISTIK / TRANSPORTASI</t>
  </si>
  <si>
    <t>AUSTRIA</t>
  </si>
  <si>
    <t>KALIMANTAN TENGAH</t>
  </si>
  <si>
    <t>TRANSPORTASI DAN LOGISTIK</t>
  </si>
  <si>
    <t>AZERBAIJAN</t>
  </si>
  <si>
    <t>KALIMANTAN TIMUR</t>
  </si>
  <si>
    <t>PELAYANAN PUBLIK / ASN / TNI / POLRI</t>
  </si>
  <si>
    <t>KEUANGAN DAN INVESTASI</t>
  </si>
  <si>
    <t>LSM / NON-PROFIT</t>
  </si>
  <si>
    <t>BAHAMA</t>
  </si>
  <si>
    <t>KALIMANTAN UTARA</t>
  </si>
  <si>
    <t>PENGUSAHA / FOUNDER / PEMILIK USAHA</t>
  </si>
  <si>
    <t>PENELITIAN DAN PENGEMBANGAN</t>
  </si>
  <si>
    <t>JASA PROFESIONAL / KONSULTAN</t>
  </si>
  <si>
    <t>BAHRAIN</t>
  </si>
  <si>
    <t>KEPULAUAN BANGKA BELITUNG</t>
  </si>
  <si>
    <t>MANAJEMEN / EKSEKUTIF (CEO/GM/MANAGER)</t>
  </si>
  <si>
    <t>LINGKUNGAN DAN ENERGI</t>
  </si>
  <si>
    <t>BANGLADESH</t>
  </si>
  <si>
    <t>KEPULAUAN RIAU</t>
  </si>
  <si>
    <t>STKIP ABDI WACANA WAMENA</t>
  </si>
  <si>
    <t>MAHASISWA / PELAJAR</t>
  </si>
  <si>
    <t>PERJALANAN DAN PARIWISATA</t>
  </si>
  <si>
    <t>BARBADOS</t>
  </si>
  <si>
    <t>UNIVERSITAS AIRLANGGA</t>
  </si>
  <si>
    <t>BELANDA</t>
  </si>
  <si>
    <t>MALUKU</t>
  </si>
  <si>
    <t>BELARUS</t>
  </si>
  <si>
    <t>MALUKU UTARA</t>
  </si>
  <si>
    <t>BELGIA</t>
  </si>
  <si>
    <t>NUSA TENGGARA BARAT</t>
  </si>
  <si>
    <t>40 (2024/2025)</t>
  </si>
  <si>
    <t>BELIZE</t>
  </si>
  <si>
    <t>NUSA TENGGARA TIMUR</t>
  </si>
  <si>
    <t>BENIN</t>
  </si>
  <si>
    <t>PAPUA</t>
  </si>
  <si>
    <t>BHUTAN</t>
  </si>
  <si>
    <t>PAPUA BARAT</t>
  </si>
  <si>
    <t>BOLIVIA</t>
  </si>
  <si>
    <t>PAPUA BARAT DAYA</t>
  </si>
  <si>
    <t>BOSNIA DAN HERZEGOVINA</t>
  </si>
  <si>
    <t>PAPUA PEGUNUNGAN</t>
  </si>
  <si>
    <t>BOTSWANA</t>
  </si>
  <si>
    <t>PAPUA SELATAN</t>
  </si>
  <si>
    <t>BRASIL</t>
  </si>
  <si>
    <t>PAPUA TENGAH</t>
  </si>
  <si>
    <t>BRITANIA RAYA (INGGRIS)</t>
  </si>
  <si>
    <t>RIAU</t>
  </si>
  <si>
    <t>BRUNEI DARUSSALAM</t>
  </si>
  <si>
    <t>SULAWESI BARAT</t>
  </si>
  <si>
    <t>BULGARIA</t>
  </si>
  <si>
    <t>SULAWESI SELATAN</t>
  </si>
  <si>
    <t>BURKINA FASO</t>
  </si>
  <si>
    <t>SULAWESI TENGAH</t>
  </si>
  <si>
    <t>UNIVERSITAS ISLAM NEGERI SUNAN AMPEL</t>
  </si>
  <si>
    <t>BURUNDI</t>
  </si>
  <si>
    <t>SULAWESI TENGGARA</t>
  </si>
  <si>
    <t>CABO VERDE</t>
  </si>
  <si>
    <t>SULAWESI UTARA</t>
  </si>
  <si>
    <t>CEKO (REPUBLIK CEKO)</t>
  </si>
  <si>
    <t>SUMATERA BARAT</t>
  </si>
  <si>
    <t>CHAD</t>
  </si>
  <si>
    <t>SUMATERA SELATAN</t>
  </si>
  <si>
    <t>CHILI</t>
  </si>
  <si>
    <t>SUMATERA UTARA</t>
  </si>
  <si>
    <t>CHINA (TIONGKOK)</t>
  </si>
  <si>
    <t>DENMARK</t>
  </si>
  <si>
    <t>DJIBOUTI</t>
  </si>
  <si>
    <t>DOMINIKA</t>
  </si>
  <si>
    <t>UNIVERSITAS KATOLIK INDONESIA ATMA JAYA</t>
  </si>
  <si>
    <t>EKUADOR</t>
  </si>
  <si>
    <t>EL SALVADOR</t>
  </si>
  <si>
    <t>ERITREA</t>
  </si>
  <si>
    <t>UNIVERSITAS KATOLIK WIDYA MANDALA SURABAYA</t>
  </si>
  <si>
    <t>ESTONIA</t>
  </si>
  <si>
    <t>ESWATINI</t>
  </si>
  <si>
    <t>ETHIOPIA</t>
  </si>
  <si>
    <t>FIJI</t>
  </si>
  <si>
    <t>UNIVERSITAS KRISTEN PAPUA</t>
  </si>
  <si>
    <t>FILIPINA</t>
  </si>
  <si>
    <t>FINLANDIA</t>
  </si>
  <si>
    <t>UNIVERSITAS KRISTEN WIRA WACANA SUMBA</t>
  </si>
  <si>
    <t>GABON</t>
  </si>
  <si>
    <t>GAMBIA</t>
  </si>
  <si>
    <t>GEORGIA</t>
  </si>
  <si>
    <t>GHANA</t>
  </si>
  <si>
    <t>GRENADA</t>
  </si>
  <si>
    <t>GUATEMALA</t>
  </si>
  <si>
    <t>GUINEA</t>
  </si>
  <si>
    <t>UNIVERSITAS MUHAMMADIYAH KUDUS</t>
  </si>
  <si>
    <t>GUINEA-BISSAU</t>
  </si>
  <si>
    <t>GUINEA KHATULISTIWA</t>
  </si>
  <si>
    <t>GUYANA</t>
  </si>
  <si>
    <t>UNIVERSITAS MUSAMUS MERAUKE</t>
  </si>
  <si>
    <t>HAITI</t>
  </si>
  <si>
    <t>HONDURAS</t>
  </si>
  <si>
    <t>UNIVERSITAS NAHDATUL ULAMA</t>
  </si>
  <si>
    <t>HUNGARIA</t>
  </si>
  <si>
    <t>INDIA</t>
  </si>
  <si>
    <t>UNIVERSITAS NASIONAL KARANGTURI SEMARANG</t>
  </si>
  <si>
    <t>IRAK</t>
  </si>
  <si>
    <t>IRAN</t>
  </si>
  <si>
    <t>UNIVERSITAS NEGERI JAKARTA</t>
  </si>
  <si>
    <t>IRLANDIA</t>
  </si>
  <si>
    <t>ISLANDIA</t>
  </si>
  <si>
    <t>ISRAEL</t>
  </si>
  <si>
    <t>ITALIA</t>
  </si>
  <si>
    <t>JAMAIKA</t>
  </si>
  <si>
    <t>JEPANG</t>
  </si>
  <si>
    <t>JERMAN</t>
  </si>
  <si>
    <t>KAMBOJA</t>
  </si>
  <si>
    <t>KAMERUN</t>
  </si>
  <si>
    <t>KANADA</t>
  </si>
  <si>
    <t>KAZAKHSTAN</t>
  </si>
  <si>
    <t>KENYA</t>
  </si>
  <si>
    <t>KIRGIZSTAN</t>
  </si>
  <si>
    <t>UNIVERSITAS PEMBANGUNAN NASIONAL VETERAN JAWA TIMUR</t>
  </si>
  <si>
    <t>KIRIBATI</t>
  </si>
  <si>
    <t>KOLOMBIA</t>
  </si>
  <si>
    <t>KOMORO</t>
  </si>
  <si>
    <t>KONGO</t>
  </si>
  <si>
    <t>KONGO (REPUBLIK DEMOKRATIK)</t>
  </si>
  <si>
    <t>KOREA SELATAN</t>
  </si>
  <si>
    <t>KOREA UTARA</t>
  </si>
  <si>
    <t>KOSTA RIKA</t>
  </si>
  <si>
    <t>KROASIA</t>
  </si>
  <si>
    <t>KUBA</t>
  </si>
  <si>
    <t>KUWAIT</t>
  </si>
  <si>
    <t>LAOS</t>
  </si>
  <si>
    <t>LATVIA</t>
  </si>
  <si>
    <t>UNIVERSITAS SURABAYA</t>
  </si>
  <si>
    <t>LEBANON</t>
  </si>
  <si>
    <t>UNIVERSITAS SWADAYA GUNUNG JATI</t>
  </si>
  <si>
    <t>LESOTHO</t>
  </si>
  <si>
    <t>LIBERIA</t>
  </si>
  <si>
    <t>LIBYA</t>
  </si>
  <si>
    <t>LIECHTENSTEIN</t>
  </si>
  <si>
    <t>LITHUANIA</t>
  </si>
  <si>
    <t>LUKSEMBURG</t>
  </si>
  <si>
    <t>MADAGASKAR</t>
  </si>
  <si>
    <t>MAKEDONIA UTARA</t>
  </si>
  <si>
    <t>MALADEWA</t>
  </si>
  <si>
    <t>MALAWI</t>
  </si>
  <si>
    <t>MALAYSIA</t>
  </si>
  <si>
    <t>MALI</t>
  </si>
  <si>
    <t>MALTA</t>
  </si>
  <si>
    <t>MAROKO</t>
  </si>
  <si>
    <t>MARSHALL (KEPULAUAN)</t>
  </si>
  <si>
    <t>MAURITANIA</t>
  </si>
  <si>
    <t>MAURITIUS</t>
  </si>
  <si>
    <t>MEKSIKO</t>
  </si>
  <si>
    <t>MESIR</t>
  </si>
  <si>
    <t>MIKRONESIA</t>
  </si>
  <si>
    <t>MOLDOVA</t>
  </si>
  <si>
    <t>MONAKO</t>
  </si>
  <si>
    <t>MONGOLIA</t>
  </si>
  <si>
    <t>MONTENEGRO</t>
  </si>
  <si>
    <t>MOZAMBIK</t>
  </si>
  <si>
    <t>MYANMAR</t>
  </si>
  <si>
    <t>NAMIBIA</t>
  </si>
  <si>
    <t>NAURU</t>
  </si>
  <si>
    <t>NEPAL</t>
  </si>
  <si>
    <t>NIGER</t>
  </si>
  <si>
    <t>NIGERIA</t>
  </si>
  <si>
    <t>NIKARAGUA</t>
  </si>
  <si>
    <t>NORWEGIA</t>
  </si>
  <si>
    <t>OMAN</t>
  </si>
  <si>
    <t>PAKISTAN</t>
  </si>
  <si>
    <t>PALAU</t>
  </si>
  <si>
    <t>PALESTINA</t>
  </si>
  <si>
    <t>PANAMA</t>
  </si>
  <si>
    <t>PANTAI GADING</t>
  </si>
  <si>
    <t>PAPUA NUGINI</t>
  </si>
  <si>
    <t>PARAGUAY</t>
  </si>
  <si>
    <t>PERU</t>
  </si>
  <si>
    <t>POLANDIA</t>
  </si>
  <si>
    <t>PORTUGAL</t>
  </si>
  <si>
    <t>PRANCIS</t>
  </si>
  <si>
    <t>QATAR</t>
  </si>
  <si>
    <t>REPUBLIK DOMINIKA</t>
  </si>
  <si>
    <t>RUMANIA</t>
  </si>
  <si>
    <t>RUSIA</t>
  </si>
  <si>
    <t>RWANDA</t>
  </si>
  <si>
    <t>SAINT KITTS DAN NEVIS</t>
  </si>
  <si>
    <t>SAINT LUCIA</t>
  </si>
  <si>
    <t>SAINT VINCENT DAN GRENADINES</t>
  </si>
  <si>
    <t>SAMOA</t>
  </si>
  <si>
    <t>SAN MARINO</t>
  </si>
  <si>
    <t>SAO TOME DAN PRINCIPE</t>
  </si>
  <si>
    <t>SELANDIA BARU</t>
  </si>
  <si>
    <t>SENEGAL</t>
  </si>
  <si>
    <t>SERBIA</t>
  </si>
  <si>
    <t>SEYCHELLES</t>
  </si>
  <si>
    <t>SIERRA LEONE</t>
  </si>
  <si>
    <t>SINGAPURA</t>
  </si>
  <si>
    <t>SIPRUS</t>
  </si>
  <si>
    <t>SLOVAKIA</t>
  </si>
  <si>
    <t>SLOVENIA</t>
  </si>
  <si>
    <t>SOLOMON (KEPULAUAN)</t>
  </si>
  <si>
    <t>SOMALIA</t>
  </si>
  <si>
    <t>SPANYOL</t>
  </si>
  <si>
    <t>SRI LANKA</t>
  </si>
  <si>
    <t>SUDAN</t>
  </si>
  <si>
    <t>SUDAN SELATAN</t>
  </si>
  <si>
    <t>SURIAH</t>
  </si>
  <si>
    <t>SURINAME</t>
  </si>
  <si>
    <t>SWEDIA</t>
  </si>
  <si>
    <t>SWISS</t>
  </si>
  <si>
    <t>TAJIKISTAN</t>
  </si>
  <si>
    <t>TANZANIA</t>
  </si>
  <si>
    <t>THAILAND</t>
  </si>
  <si>
    <t>TIMOR-LESTE</t>
  </si>
  <si>
    <t>TOGO</t>
  </si>
  <si>
    <t>TONGA</t>
  </si>
  <si>
    <t>TRINIDAD DAN TOBAGO</t>
  </si>
  <si>
    <t>TUNISIA</t>
  </si>
  <si>
    <t>TURKI</t>
  </si>
  <si>
    <t>TURKMENISTAN</t>
  </si>
  <si>
    <t>TUVALU</t>
  </si>
  <si>
    <t>UGANDA</t>
  </si>
  <si>
    <t>UKRAINA</t>
  </si>
  <si>
    <t>UNI EMIRAT ARAB</t>
  </si>
  <si>
    <t>URUGUAY</t>
  </si>
  <si>
    <t>UZBEKISTAN</t>
  </si>
  <si>
    <t>VANUATU</t>
  </si>
  <si>
    <t>VATIKAN</t>
  </si>
  <si>
    <t>VENEZUELA</t>
  </si>
  <si>
    <t>VIETNAM</t>
  </si>
  <si>
    <t>YAMAN</t>
  </si>
  <si>
    <t>YORDANIA</t>
  </si>
  <si>
    <t>YUNANI</t>
  </si>
  <si>
    <t>ZAMBIA</t>
  </si>
  <si>
    <t>ZIMBABWE</t>
  </si>
  <si>
    <t>Kolom A (Kunci)</t>
  </si>
  <si>
    <t>Kolom B (Nilai)</t>
  </si>
  <si>
    <t>Keterangan</t>
  </si>
  <si>
    <t>SHEET_NAME</t>
  </si>
  <si>
    <t>Database</t>
  </si>
  <si>
    <t>Nama Sheet Sumber Data Anggota</t>
  </si>
  <si>
    <t>DAILY_LIMIT</t>
  </si>
  <si>
    <t>Batas maksimum email per hari</t>
  </si>
  <si>
    <t>DEFAULT_PIN</t>
  </si>
  <si>
    <t>PIN awal yang akan diinformasikan</t>
  </si>
  <si>
    <t>//FIX or Random seed?</t>
  </si>
  <si>
    <t>WEBSITE_LINK</t>
  </si>
  <si>
    <t>https://script.google.com/macros/s/AKfycbwFqxi5wvtTKNv37COGQWtr0WUrjmMICkMM5j1218s7Lk3FeU7HTCPR6Is1rL3cdcNA/exec</t>
  </si>
  <si>
    <t>Tautan website login</t>
  </si>
  <si>
    <t>NAMA_ORGANISASI</t>
  </si>
  <si>
    <t>Ikatan Alumni Djarum Beasiswa Plus</t>
  </si>
  <si>
    <t>Nama yang akan muncul di akhir email</t>
  </si>
  <si>
    <t>Waktu Pengiriman</t>
  </si>
  <si>
    <t>Email Tujuan</t>
  </si>
  <si>
    <t>Pesan Error/Keterangan</t>
  </si>
  <si>
    <t>1/12/2025, 11.28.51</t>
  </si>
  <si>
    <t>TERKIRIM</t>
  </si>
  <si>
    <t>Berhasil dikirim.</t>
  </si>
  <si>
    <t>1/12/2025, 11.30.44</t>
  </si>
  <si>
    <t>1/12/2025, 11.33.56</t>
  </si>
  <si>
    <t>17/12/2025, 17.57.37</t>
  </si>
  <si>
    <t>17/12/2025, 17.57.38</t>
  </si>
  <si>
    <t>17/12/2025, 17.57.39</t>
  </si>
  <si>
    <t>17/12/2025, 17.57.40</t>
  </si>
  <si>
    <t>17/12/2025, 17.57.41</t>
  </si>
  <si>
    <t>17/12/2025, 17.57.44</t>
  </si>
  <si>
    <t>17/12/2025, 17.57.45</t>
  </si>
  <si>
    <t>17/12/2025, 17.57.46</t>
  </si>
  <si>
    <t>17/12/2025, 17.57.47</t>
  </si>
  <si>
    <t>17/12/2025, 17.57.48</t>
  </si>
  <si>
    <t>17/12/2025, 17.57.49</t>
  </si>
  <si>
    <t>17/12/2025, 17.57.50</t>
  </si>
  <si>
    <t>17/12/2025, 17.57.51</t>
  </si>
  <si>
    <t>17/12/2025, 17.57.54</t>
  </si>
  <si>
    <t>17/12/2025, 17.57.55</t>
  </si>
  <si>
    <t>17/12/2025, 17.57.56</t>
  </si>
  <si>
    <t>17/12/2025, 17.57.57</t>
  </si>
  <si>
    <t>17/12/2025, 17.57.58</t>
  </si>
  <si>
    <t>SKIP</t>
  </si>
  <si>
    <t>Email kosong atau format tidak valid.</t>
  </si>
  <si>
    <t>17/12/2025, 17.57.59</t>
  </si>
  <si>
    <t>17/12/2025, 17.58.00</t>
  </si>
  <si>
    <t>17/12/2025, 17.58.01</t>
  </si>
  <si>
    <t>17/12/2025, 17.58.04</t>
  </si>
  <si>
    <t>17/12/2025, 17.58.05</t>
  </si>
  <si>
    <t>17/12/2025, 17.58.06</t>
  </si>
  <si>
    <t>17/12/2025, 17.58.07</t>
  </si>
  <si>
    <t>17/12/2025, 17.58.08</t>
  </si>
  <si>
    <t>17/12/2025, 17.58.09</t>
  </si>
  <si>
    <t>17/12/2025, 17.58.10</t>
  </si>
  <si>
    <t>17/12/2025, 17.58.11</t>
  </si>
  <si>
    <t>17/12/2025, 17.58.14</t>
  </si>
  <si>
    <t>17/12/2025, 17.58.15</t>
  </si>
  <si>
    <t>17/12/2025, 17.58.16</t>
  </si>
  <si>
    <t>17/12/2025, 17.58.17</t>
  </si>
  <si>
    <t>17/12/2025, 17.58.18</t>
  </si>
  <si>
    <t>17/12/2025, 17.58.20</t>
  </si>
  <si>
    <t>17/12/2025, 17.58.21</t>
  </si>
  <si>
    <t>17/12/2025, 17.58.22</t>
  </si>
  <si>
    <t>17/12/2025, 17.58.23</t>
  </si>
  <si>
    <t>17/12/2025, 17.58.24</t>
  </si>
  <si>
    <t>17/12/2025, 17.58.25</t>
  </si>
  <si>
    <t>17/12/2025, 17.58.26</t>
  </si>
  <si>
    <t>17/12/2025, 17.58.29</t>
  </si>
  <si>
    <t>17/12/2025, 17.58.30</t>
  </si>
  <si>
    <t>annisa.latu12@gmail.com</t>
  </si>
  <si>
    <t>17/12/2025, 17.58.31</t>
  </si>
  <si>
    <t>17/12/2025, 17.58.32</t>
  </si>
  <si>
    <t>17/12/2025, 17.58.33</t>
  </si>
  <si>
    <t>17/12/2025, 17.58.34</t>
  </si>
  <si>
    <t>17/12/2025, 17.58.35</t>
  </si>
  <si>
    <t>17/12/2025, 17.58.36</t>
  </si>
  <si>
    <t>17/12/2025, 17.58.39</t>
  </si>
  <si>
    <t>17/12/2025, 17.58.40</t>
  </si>
  <si>
    <t>17/12/2025, 17.58.41</t>
  </si>
  <si>
    <t>17/12/2025, 17.58.42</t>
  </si>
  <si>
    <t>17/12/2025, 17.58.43</t>
  </si>
  <si>
    <t>17/12/2025, 17.58.44</t>
  </si>
  <si>
    <t>17/12/2025, 17.58.45</t>
  </si>
  <si>
    <t>17/12/2025, 17.58.46</t>
  </si>
  <si>
    <t>17/12/2025, 17.58.49</t>
  </si>
  <si>
    <t>17/12/2025, 17.58.50</t>
  </si>
  <si>
    <t>17/12/2025, 17.58.52</t>
  </si>
  <si>
    <t>17/12/2025, 17.58.53</t>
  </si>
  <si>
    <t>17/12/2025, 17.58.54</t>
  </si>
  <si>
    <t>17/12/2025, 17.58.56</t>
  </si>
  <si>
    <t>17/12/2025, 17.58.58</t>
  </si>
  <si>
    <t>17/12/2025, 17.58.59</t>
  </si>
  <si>
    <t>17/12/2025, 17.59.00</t>
  </si>
  <si>
    <t>17/12/2025, 17.59.01</t>
  </si>
  <si>
    <t>17/12/2025, 17.59.04</t>
  </si>
  <si>
    <t>17/12/2025, 17.59.05</t>
  </si>
  <si>
    <t>17/12/2025, 17.59.06</t>
  </si>
  <si>
    <t>17/12/2025, 17.59.07</t>
  </si>
  <si>
    <t>17/12/2025, 17.59.08</t>
  </si>
  <si>
    <t>17/12/2025, 17.59.09</t>
  </si>
  <si>
    <t>No,Nama Negara,Benua</t>
  </si>
  <si>
    <t>No</t>
  </si>
  <si>
    <t>Nama Provinsi</t>
  </si>
  <si>
    <t>Ibu Kota</t>
  </si>
  <si>
    <t>Profesional</t>
  </si>
  <si>
    <t>GURITNO and PARTNERS - Law Firm</t>
  </si>
  <si>
    <t>Laki-laki</t>
  </si>
  <si>
    <t>1,Afganistan,Asia</t>
  </si>
  <si>
    <t>Aceh</t>
  </si>
  <si>
    <t>Banda Aceh</t>
  </si>
  <si>
    <t>IAIN Kudus</t>
  </si>
  <si>
    <t>PT. Parkland World Indonesia Jepara</t>
  </si>
  <si>
    <t>2,Afrika Selatan,Afrika</t>
  </si>
  <si>
    <t>Bali</t>
  </si>
  <si>
    <t>Denpasar</t>
  </si>
  <si>
    <t>Institut Kesenian Jakarta</t>
  </si>
  <si>
    <t>Perempuan</t>
  </si>
  <si>
    <t>3,Albania,Eropa</t>
  </si>
  <si>
    <t>Banten</t>
  </si>
  <si>
    <t>Serang</t>
  </si>
  <si>
    <t>Institut Pertanian Bogor</t>
  </si>
  <si>
    <t>PT. PRIMA AGRO TECH</t>
  </si>
  <si>
    <t>4,Aljazair,Afrika</t>
  </si>
  <si>
    <t>Bengkulu</t>
  </si>
  <si>
    <t>Institut Seni Indonesia Yogyakarta</t>
  </si>
  <si>
    <t>BUMN/Pemerintahan(PNS)</t>
  </si>
  <si>
    <t>PT. Bank Negara Indonesia (Persero), Tbk</t>
  </si>
  <si>
    <t>5,Amerika Serikat,Amerika Utara</t>
  </si>
  <si>
    <t>DI Yogyakarta</t>
  </si>
  <si>
    <t>Yogyakarta</t>
  </si>
  <si>
    <t>Institut Teknologi Bandung</t>
  </si>
  <si>
    <t>Wiraswasta</t>
  </si>
  <si>
    <t>Companera Business &amp; Companera Apparel</t>
  </si>
  <si>
    <t>6,Andorra,Eropa</t>
  </si>
  <si>
    <t>DKI Jakarta</t>
  </si>
  <si>
    <t>Jakarta</t>
  </si>
  <si>
    <t>Institut Teknologi Harapan Bangsa</t>
  </si>
  <si>
    <t>PT. Home center indonesia (kawan lama group)</t>
  </si>
  <si>
    <t>7,Angola,Afrika</t>
  </si>
  <si>
    <t>Gorontalo</t>
  </si>
  <si>
    <t>Institut Teknologi Kalimantan</t>
  </si>
  <si>
    <t>Belum Bekerja</t>
  </si>
  <si>
    <t>8,Antigua dan Barbuda,Amerika Utara</t>
  </si>
  <si>
    <t>Jambi</t>
  </si>
  <si>
    <t>Institut Teknologi Nasional</t>
  </si>
  <si>
    <t>Astra International - Toyota Auto2000</t>
  </si>
  <si>
    <t>9,Arab Saudi,Asia</t>
  </si>
  <si>
    <t>Bandung</t>
  </si>
  <si>
    <t>Institut Teknologi Sepuluh Nopember</t>
  </si>
  <si>
    <t>PT PLN INDONESIA POWER</t>
  </si>
  <si>
    <t>10,Argentina,Amerika Selatan</t>
  </si>
  <si>
    <t>Jawa Tengah</t>
  </si>
  <si>
    <t>Semarang</t>
  </si>
  <si>
    <t>Politeknik Elektronika Negeri Surabaya</t>
  </si>
  <si>
    <t>MarkPlus</t>
  </si>
  <si>
    <t>11,Armenia,Asia</t>
  </si>
  <si>
    <t>Jawa Timur</t>
  </si>
  <si>
    <t>Surabaya</t>
  </si>
  <si>
    <t>Politeknik Negeri Bandung</t>
  </si>
  <si>
    <t>Mahasiswa</t>
  </si>
  <si>
    <t>12,Australia,Australia/Oceania</t>
  </si>
  <si>
    <t>Kalimantan Barat</t>
  </si>
  <si>
    <t>Pontianak</t>
  </si>
  <si>
    <t>Politeknik Negeri Batam</t>
  </si>
  <si>
    <t>Yayasan Rumah Energi</t>
  </si>
  <si>
    <t>13,Austria,Eropa</t>
  </si>
  <si>
    <t>Kalimantan Selatan</t>
  </si>
  <si>
    <t>Banjarbaru</t>
  </si>
  <si>
    <t>Politeknik Negeri Malang</t>
  </si>
  <si>
    <t>PT YUKBISNIS INDONESIA</t>
  </si>
  <si>
    <t>14,Azerbaijan,Asia</t>
  </si>
  <si>
    <t>Kalimantan Tengah</t>
  </si>
  <si>
    <t>Palangka Raya</t>
  </si>
  <si>
    <t>Politeknik Negeri Samarinda</t>
  </si>
  <si>
    <t>PT.Grab Teknologi Indonesia</t>
  </si>
  <si>
    <t>15,Bahama,Amerika Utara</t>
  </si>
  <si>
    <t>Kalimantan Timur</t>
  </si>
  <si>
    <t>Samarinda</t>
  </si>
  <si>
    <t>Politeknik Negeri Semarang</t>
  </si>
  <si>
    <t>Bank Mandiri</t>
  </si>
  <si>
    <t>16,Bahrain,Asia</t>
  </si>
  <si>
    <t>Kalimantan Utara</t>
  </si>
  <si>
    <t>Tanjung Selor</t>
  </si>
  <si>
    <t>Sekolah Tinggi Ilmu Ekonomi Malangkucecwara</t>
  </si>
  <si>
    <t>PT. Bank Mandiri (Persero) Tbk</t>
  </si>
  <si>
    <t>17,Bangladesh,Asia</t>
  </si>
  <si>
    <t>Kepulauan Bangka Belitung</t>
  </si>
  <si>
    <t>Pangkal Pinang</t>
  </si>
  <si>
    <t>Sekolah Tinggi Ilmu Ekonomi YKPN</t>
  </si>
  <si>
    <t>Dosen</t>
  </si>
  <si>
    <t>Institut Seni Budaya Indonesia Aceh</t>
  </si>
  <si>
    <t>18,Barbados,Amerika Utara</t>
  </si>
  <si>
    <t>Kepulauan Riau</t>
  </si>
  <si>
    <t>Tanjung Pinang</t>
  </si>
  <si>
    <t>STKIP Abdi Wacana Wamena</t>
  </si>
  <si>
    <t>PT. Fortius Solusi Informatika</t>
  </si>
  <si>
    <t>19,Belanda,Eropa</t>
  </si>
  <si>
    <t>Lampung</t>
  </si>
  <si>
    <t>Bandar Lampung</t>
  </si>
  <si>
    <t>Universitas Airlangga</t>
  </si>
  <si>
    <t>Coding Tutor</t>
  </si>
  <si>
    <t>Algorithmics Indonesia dan Timedoor Academy</t>
  </si>
  <si>
    <t>20,Belarus,Eropa</t>
  </si>
  <si>
    <t>Maluku</t>
  </si>
  <si>
    <t>Ambon</t>
  </si>
  <si>
    <t>Universitas Andalas</t>
  </si>
  <si>
    <t>KAP Parker Russell Indonesia</t>
  </si>
  <si>
    <t>21,Belgia,Eropa</t>
  </si>
  <si>
    <t>Maluku Utara</t>
  </si>
  <si>
    <t>Sofifi</t>
  </si>
  <si>
    <t>Universitas Atma Jaya Yogyakarta</t>
  </si>
  <si>
    <t>PT. Indonesia Epson Industry</t>
  </si>
  <si>
    <t>22,Belize,Amerika Utara</t>
  </si>
  <si>
    <t>Nusa Tenggara Barat</t>
  </si>
  <si>
    <t>Mataram</t>
  </si>
  <si>
    <t>Universitas Bangka Belitung</t>
  </si>
  <si>
    <t>Universitas Muria Kudus</t>
  </si>
  <si>
    <t>23,Benin,Afrika</t>
  </si>
  <si>
    <t>Nusa Tenggara Timur</t>
  </si>
  <si>
    <t>Kupang</t>
  </si>
  <si>
    <t>Universitas Bengkulu</t>
  </si>
  <si>
    <t>24,Bhutan,Asia</t>
  </si>
  <si>
    <t>Papua</t>
  </si>
  <si>
    <t>Jayapura</t>
  </si>
  <si>
    <t>Universitas Bina Nusantara</t>
  </si>
  <si>
    <t>Guru PPPK</t>
  </si>
  <si>
    <t xml:space="preserve">SMP Negeri 1 Pageruyung </t>
  </si>
  <si>
    <t>25,Bolivia,Amerika Selatan</t>
  </si>
  <si>
    <t>Papua Barat</t>
  </si>
  <si>
    <t>Manokwari</t>
  </si>
  <si>
    <t>Universitas Borneo Tarakan</t>
  </si>
  <si>
    <t>PT Datacomm Diangraha</t>
  </si>
  <si>
    <t>26,Bosnia dan Herzegovina,Eropa</t>
  </si>
  <si>
    <t>Papua Barat Daya</t>
  </si>
  <si>
    <t>Sorong</t>
  </si>
  <si>
    <t>Universitas Brawijaya</t>
  </si>
  <si>
    <t>BCA Finance</t>
  </si>
  <si>
    <t>27,Botswana,Afrika</t>
  </si>
  <si>
    <t>Papua Pegunungan</t>
  </si>
  <si>
    <t>Wamena</t>
  </si>
  <si>
    <t>Universitas Cendrawasih</t>
  </si>
  <si>
    <t>PT Zurich Topas Life</t>
  </si>
  <si>
    <t>28,Brasil,Amerika Selatan</t>
  </si>
  <si>
    <t>Papua Selatan</t>
  </si>
  <si>
    <t>Merauke</t>
  </si>
  <si>
    <t>Universitas Dian Nuswantoro</t>
  </si>
  <si>
    <t>Freelance</t>
  </si>
  <si>
    <t>Hotel 1O1 Urban Jakarta Thamrin</t>
  </si>
  <si>
    <t>29,Britania Raya (Inggris),Eropa</t>
  </si>
  <si>
    <t>Papua Tengah</t>
  </si>
  <si>
    <t>Nabire</t>
  </si>
  <si>
    <t>Universitas Diponegoro</t>
  </si>
  <si>
    <t>Motasa Indonesia</t>
  </si>
  <si>
    <t>30,Brunei Darussalam,Asia</t>
  </si>
  <si>
    <t>Riau</t>
  </si>
  <si>
    <t>Pekanbaru</t>
  </si>
  <si>
    <t>Universitas Halu Oleo</t>
  </si>
  <si>
    <t>PT Geotronix Pratama Indonesia</t>
  </si>
  <si>
    <t>31,Bulgaria,Eropa</t>
  </si>
  <si>
    <t>Sulawesi Barat</t>
  </si>
  <si>
    <t>Mamuju</t>
  </si>
  <si>
    <t>Universitas Islam Bandung</t>
  </si>
  <si>
    <t>PT Adlink Sinemedia Indonesia</t>
  </si>
  <si>
    <t>32,Burkina Faso,Afrika</t>
  </si>
  <si>
    <t>Sulawesi Selatan</t>
  </si>
  <si>
    <t>Makassar</t>
  </si>
  <si>
    <t>Universitas Islam Malang</t>
  </si>
  <si>
    <t>PT. Bank Rakyat Indonesia Tbk.</t>
  </si>
  <si>
    <t>33,Burundi,Afrika</t>
  </si>
  <si>
    <t>Sulawesi Tengah</t>
  </si>
  <si>
    <t>Palu</t>
  </si>
  <si>
    <t>Universitas Islam Negeri Sunan Ampel</t>
  </si>
  <si>
    <t xml:space="preserve">Universitas Mulawarman </t>
  </si>
  <si>
    <t>34,Cabo Verde,Afrika</t>
  </si>
  <si>
    <t>Sulawesi Tenggara</t>
  </si>
  <si>
    <t>Kendari</t>
  </si>
  <si>
    <t>Universitas Islam Negeri Sunan Gunung Djati</t>
  </si>
  <si>
    <t>Ubiklan</t>
  </si>
  <si>
    <t>35,Ceko (Republik Ceko),Eropa</t>
  </si>
  <si>
    <t>Sulawesi Utara</t>
  </si>
  <si>
    <t>Manado</t>
  </si>
  <si>
    <t>Universitas Islam Negeri Sunan Kalijaga</t>
  </si>
  <si>
    <t>36,Chad,Afrika</t>
  </si>
  <si>
    <t>Sumatera Barat</t>
  </si>
  <si>
    <t>Padang</t>
  </si>
  <si>
    <t>Universitas Islam Negeri Syarif Hidayatullah</t>
  </si>
  <si>
    <t>PT Bumibaru</t>
  </si>
  <si>
    <t>37,Chili,Amerika Selatan</t>
  </si>
  <si>
    <t>Sumatera Selatan</t>
  </si>
  <si>
    <t>Palembang</t>
  </si>
  <si>
    <t>Universitas Islam Negeri Walisongo</t>
  </si>
  <si>
    <t>McKinsey and Company</t>
  </si>
  <si>
    <t>38,China (Tiongkok),Asia</t>
  </si>
  <si>
    <t>Sumatera Utara</t>
  </si>
  <si>
    <t>Medan</t>
  </si>
  <si>
    <t>Universitas Jambi</t>
  </si>
  <si>
    <t>Kementerian Hukum dan HAM</t>
  </si>
  <si>
    <t>39,Denmark,Eropa</t>
  </si>
  <si>
    <t>Universitas Jember</t>
  </si>
  <si>
    <t>PT. Accenture</t>
  </si>
  <si>
    <t>40,Djibouti,Afrika</t>
  </si>
  <si>
    <t>Universitas Jenderal Achmad Yani</t>
  </si>
  <si>
    <t xml:space="preserve">Institut Teknologi Bandung </t>
  </si>
  <si>
    <t>41,Dominika,Amerika Utara</t>
  </si>
  <si>
    <t>Universitas Jenderal Soedirman</t>
  </si>
  <si>
    <t>Indomarco Prismatama</t>
  </si>
  <si>
    <t>42,Ekuador,Amerika Selatan</t>
  </si>
  <si>
    <t>Universitas Katolik Indonesia Atma Jaya</t>
  </si>
  <si>
    <t>Kementerian PUPR</t>
  </si>
  <si>
    <t>43,El Salvador,Amerika Utara</t>
  </si>
  <si>
    <t>Universitas Katolik Parahyangan</t>
  </si>
  <si>
    <t>Organisasi Internasional</t>
  </si>
  <si>
    <t>ASEAN Secretariat</t>
  </si>
  <si>
    <t>44,Eritrea,Afrika</t>
  </si>
  <si>
    <t>Universitas Katolik Soegijapranata</t>
  </si>
  <si>
    <t>45,Estonia,Eropa</t>
  </si>
  <si>
    <t>Universitas Katolik Widya Mandala Surabaya</t>
  </si>
  <si>
    <t>SMAS K ST ARNOLDUS MUKUN</t>
  </si>
  <si>
    <t>46,Eswatini,Afrika</t>
  </si>
  <si>
    <t>Universitas Khairun</t>
  </si>
  <si>
    <t>47,Ethiopia,Afrika</t>
  </si>
  <si>
    <t>Universitas Kristen Duta Wacana</t>
  </si>
  <si>
    <t>PT Paragon Technology and Innovation</t>
  </si>
  <si>
    <t>48,Fiji,Oceania</t>
  </si>
  <si>
    <t>Universitas Kristen Maranatha</t>
  </si>
  <si>
    <t>Asisten Dosen</t>
  </si>
  <si>
    <t>Universitas Papua</t>
  </si>
  <si>
    <t>49,Filipina,Asia</t>
  </si>
  <si>
    <t>Universitas Kristen Papua</t>
  </si>
  <si>
    <t>50,Finlandia,Eropa</t>
  </si>
  <si>
    <t>Universitas Kristen Satya Wacana</t>
  </si>
  <si>
    <t>Deloitte</t>
  </si>
  <si>
    <t>51,Gabon,Afrika</t>
  </si>
  <si>
    <t>Universitas Kristen Wira Wacana Sumba</t>
  </si>
  <si>
    <t>52,Gambia,Afrika</t>
  </si>
  <si>
    <t>Universitas Lambung Mangkurat</t>
  </si>
  <si>
    <t>Rambee.co</t>
  </si>
  <si>
    <t>53,Georgia,Asia</t>
  </si>
  <si>
    <t>Universitas Lampung</t>
  </si>
  <si>
    <t>Procter &amp; Gamble Indonesia</t>
  </si>
  <si>
    <t>54,Ghana,Afrika</t>
  </si>
  <si>
    <t>Universitas Ma Chung</t>
  </si>
  <si>
    <t xml:space="preserve">PT. Sumber Alfaria Trijaya </t>
  </si>
  <si>
    <t>55,Grenada,Amerika Utara</t>
  </si>
  <si>
    <t>Universitas Mataram</t>
  </si>
  <si>
    <t>56,Guatemala,Amerika Utara</t>
  </si>
  <si>
    <t>Universitas Merdeka</t>
  </si>
  <si>
    <t>PT. Sebastian Citra Indonesia</t>
  </si>
  <si>
    <t>57,Guinea,Afrika</t>
  </si>
  <si>
    <t>Universitas Muhammadiyah Jember</t>
  </si>
  <si>
    <t>PT KONE INDO ELEVATOR</t>
  </si>
  <si>
    <t>58,Guinea-Bissau,Afrika</t>
  </si>
  <si>
    <t>Universitas Muhammadiyah Kudus</t>
  </si>
  <si>
    <t>PT Astra International</t>
  </si>
  <si>
    <t>59,Guinea Khatulistiwa,Afrika</t>
  </si>
  <si>
    <t>Universitas Muhammadiyah Malang</t>
  </si>
  <si>
    <t>BCA</t>
  </si>
  <si>
    <t>60,Guyana,Amerika Selatan</t>
  </si>
  <si>
    <t>PT Pura Barutama</t>
  </si>
  <si>
    <t>61,Haiti,Amerika Utara</t>
  </si>
  <si>
    <t>Universitas Musamus Merauke</t>
  </si>
  <si>
    <t>Mayapada Hospital Kuningan</t>
  </si>
  <si>
    <t>62,Honduras,Amerika Utara</t>
  </si>
  <si>
    <t>Universitas Muslim Indonesia</t>
  </si>
  <si>
    <t>63,Hungaria,Eropa</t>
  </si>
  <si>
    <t>Universitas Nahdatul Ulama</t>
  </si>
  <si>
    <t>64,India,Asia</t>
  </si>
  <si>
    <t>Universitas Nasional</t>
  </si>
  <si>
    <t>Magang</t>
  </si>
  <si>
    <t>PT Pupuk Kujang Cikampek</t>
  </si>
  <si>
    <t>65,Indonesia,Asia</t>
  </si>
  <si>
    <t>Universitas Nasional Karangturi Semarang</t>
  </si>
  <si>
    <t>66,Irak,Asia</t>
  </si>
  <si>
    <t>Universitas Negeri Gorontalo</t>
  </si>
  <si>
    <t>PT Yili Indonesia Dairy</t>
  </si>
  <si>
    <t>67,Iran,Asia</t>
  </si>
  <si>
    <t>Universitas Negeri Jakarta</t>
  </si>
  <si>
    <t>Ninja Xpress</t>
  </si>
  <si>
    <t>68,Irlandia,Eropa</t>
  </si>
  <si>
    <t>Universitas Negeri Makassar</t>
  </si>
  <si>
    <t>PT. Bank Digital BCA</t>
  </si>
  <si>
    <t>69,Islandia,Eropa</t>
  </si>
  <si>
    <t>Universitas Negeri Malang</t>
  </si>
  <si>
    <t>PT Bank Central Asia Tbk</t>
  </si>
  <si>
    <t>70,Israel,Asia</t>
  </si>
  <si>
    <t>Universitas Negeri Papua</t>
  </si>
  <si>
    <t>GroupM Indonesia</t>
  </si>
  <si>
    <t>71,Italia,Eropa</t>
  </si>
  <si>
    <t>Universitas Negeri Sebelas Maret</t>
  </si>
  <si>
    <t>MSC Indonesia</t>
  </si>
  <si>
    <t>72,Jamaika,Amerika Utara</t>
  </si>
  <si>
    <t>Universitas Negeri Semarang</t>
  </si>
  <si>
    <t>Ajari Technologies</t>
  </si>
  <si>
    <t>73,Jepang,Asia</t>
  </si>
  <si>
    <t>Universitas Negeri Yogyakarta</t>
  </si>
  <si>
    <t>PT. Tribhakti Inspektama</t>
  </si>
  <si>
    <t>74,Jerman,Eropa</t>
  </si>
  <si>
    <t>Universitas Nusa Cendana</t>
  </si>
  <si>
    <t>PT MNC OTT Network</t>
  </si>
  <si>
    <t>75,Kamboja,Asia</t>
  </si>
  <si>
    <t>Universitas Padjadjaran</t>
  </si>
  <si>
    <t>Auditor</t>
  </si>
  <si>
    <t>PricewaterhouseCoopers (PwC) Indonesia</t>
  </si>
  <si>
    <t>76,Kamerun,Afrika</t>
  </si>
  <si>
    <t>Universitas Palangkaraya</t>
  </si>
  <si>
    <t>Asisten Deputi Ekonomi Digital Kementerian Koordinator Bidang Perekonomian</t>
  </si>
  <si>
    <t>77,Kanada,Amerika Utara</t>
  </si>
  <si>
    <t>Universitas Paramadina</t>
  </si>
  <si>
    <t>PT Asahimas Chemical</t>
  </si>
  <si>
    <t>78,Kazakhstan,Asia</t>
  </si>
  <si>
    <t>Universitas Pasundan</t>
  </si>
  <si>
    <t>Profindo Sekuritas</t>
  </si>
  <si>
    <t>79,Kenya,Afrika</t>
  </si>
  <si>
    <t>Universitas Pattimura</t>
  </si>
  <si>
    <t>Kalbe Consumer Health</t>
  </si>
  <si>
    <t>80,Kirgizstan,Asia</t>
  </si>
  <si>
    <t>Universitas Pembangunan Nasional Veteran Jawa Timur</t>
  </si>
  <si>
    <t>Tunas Barutama Teknik</t>
  </si>
  <si>
    <t>81,Kiribati,Oceania</t>
  </si>
  <si>
    <t>Universitas Pembangunan Nasional Veteran Yogyakarta</t>
  </si>
  <si>
    <t>PT Perentjana Djaja</t>
  </si>
  <si>
    <t>82,Kolombia,Amerika Selatan</t>
  </si>
  <si>
    <t>Universitas Pendidikan Indonesia</t>
  </si>
  <si>
    <t>PT. BCA</t>
  </si>
  <si>
    <t>83,Komoro,Afrika</t>
  </si>
  <si>
    <t>Universitas Prof. Dr. Moestopo (Beragama)</t>
  </si>
  <si>
    <t>84,Kongo,Afrika</t>
  </si>
  <si>
    <t>Universitas Riau</t>
  </si>
  <si>
    <t>PT Indoroti Prima Cemerlang (Indomaret Group)</t>
  </si>
  <si>
    <t>85,Kongo (Republik Demokratik),Afrika</t>
  </si>
  <si>
    <t>Universitas Sam Ratulangi</t>
  </si>
  <si>
    <t>Eksekutif &amp; Manajemen Senior</t>
  </si>
  <si>
    <t>PT. Classic Fine Foods Indonesia</t>
  </si>
  <si>
    <t>86,Korea Selatan,Asia</t>
  </si>
  <si>
    <t>Universitas Sanata Dharma</t>
  </si>
  <si>
    <t>87,Korea Utara,Asia</t>
  </si>
  <si>
    <t>Universitas Semarang</t>
  </si>
  <si>
    <t>PT Pertamina Patra Niaga</t>
  </si>
  <si>
    <t>88,Kosta Rika,Amerika Utara</t>
  </si>
  <si>
    <t>Universitas Siliwangi</t>
  </si>
  <si>
    <t>PT Alam Sutera Realty Tbk</t>
  </si>
  <si>
    <t>89,Kroasia,Eropa</t>
  </si>
  <si>
    <t>Universitas Sriwijaya</t>
  </si>
  <si>
    <t>PT Pertamina Retail</t>
  </si>
  <si>
    <t>90,Kuba,Amerika Utara</t>
  </si>
  <si>
    <t>Universitas Sulawesi Barat</t>
  </si>
  <si>
    <t>91,Kuwait,Asia</t>
  </si>
  <si>
    <t>Universitas Sultan Ageng Tirtayasa</t>
  </si>
  <si>
    <t>Bomba Grup</t>
  </si>
  <si>
    <t>92,Laos,Asia</t>
  </si>
  <si>
    <t>Universitas Sumatera Utara</t>
  </si>
  <si>
    <t>PT. Islandsun Indonesia</t>
  </si>
  <si>
    <t>93,Latvia,Eropa</t>
  </si>
  <si>
    <t>Universitas Surabaya</t>
  </si>
  <si>
    <t>Samsung Electronics Indonesia</t>
  </si>
  <si>
    <t>94,Lebanon,Asia</t>
  </si>
  <si>
    <t>Universitas Swadaya Gunung Jati</t>
  </si>
  <si>
    <t>PT. Alam Sutera tbk.</t>
  </si>
  <si>
    <t>95,Lesotho,Afrika</t>
  </si>
  <si>
    <t>Universitas Syiah Kuala</t>
  </si>
  <si>
    <t>96,Liberia,Afrika</t>
  </si>
  <si>
    <t>Universitas Tadulako</t>
  </si>
  <si>
    <t>97,Libya,Afrika</t>
  </si>
  <si>
    <t>Universitas Tanjungpura</t>
  </si>
  <si>
    <t>98,Liechtenstein,Eropa</t>
  </si>
  <si>
    <t>Universitas Tarumanagara</t>
  </si>
  <si>
    <t>PT Swalayan Sukses Abadi (Part of PT Mitra Adiperkasa)</t>
  </si>
  <si>
    <t>99,Lithuania,Eropa</t>
  </si>
  <si>
    <t>Universitas Trunojoyo</t>
  </si>
  <si>
    <t>PT Bank Rakyat Indonesia (Persero) Tbk</t>
  </si>
  <si>
    <t>100,Luksemburg,Eropa</t>
  </si>
  <si>
    <t>Universitas Udayana</t>
  </si>
  <si>
    <t>PT Tritra Prima Indonesia</t>
  </si>
  <si>
    <t>101,Madagaskar,Afrika</t>
  </si>
  <si>
    <t>Universitas Warmadewa</t>
  </si>
  <si>
    <t>PT. Victoria Care Indonesia, Tbk.</t>
  </si>
  <si>
    <t>102,Makedonia Utara,Eropa</t>
  </si>
  <si>
    <t>Universitas Widyatama</t>
  </si>
  <si>
    <t>103,Maladewa,Asia</t>
  </si>
  <si>
    <t>104,Malawi,Afrika</t>
  </si>
  <si>
    <t>105,Malaysia,Asia</t>
  </si>
  <si>
    <t>106,Mali,Afrika</t>
  </si>
  <si>
    <t>Artax</t>
  </si>
  <si>
    <t>107,Malta,Eropa</t>
  </si>
  <si>
    <t xml:space="preserve">Karyawan Kontrak </t>
  </si>
  <si>
    <t xml:space="preserve">PT Sakinah Group </t>
  </si>
  <si>
    <t>108,Maroko,Afrika</t>
  </si>
  <si>
    <t>TASPEN</t>
  </si>
  <si>
    <t>109,Marshall (Kepulauan),Oceania</t>
  </si>
  <si>
    <t>PT Indah Kiat Karawang Pulp and Paper TBK.</t>
  </si>
  <si>
    <t>110,Mauritania,Afrika</t>
  </si>
  <si>
    <t>111,Mauritius,Afrika</t>
  </si>
  <si>
    <t>Dependen.Foto</t>
  </si>
  <si>
    <t>112,Meksiko,Amerika Utara</t>
  </si>
  <si>
    <t>Begonia Adventure Store</t>
  </si>
  <si>
    <t>113,Mesir,Afrika</t>
  </si>
  <si>
    <t>PT. Virama Karya (Persero)</t>
  </si>
  <si>
    <t>114,Mikronesia,Oceania</t>
  </si>
  <si>
    <t>115,Moldova,Eropa</t>
  </si>
  <si>
    <t>116,Monako,Eropa</t>
  </si>
  <si>
    <t>117,Mongolia,Asia</t>
  </si>
  <si>
    <t>PT Samuel Tumbuh Bersama</t>
  </si>
  <si>
    <t>118,Montenegro,Eropa</t>
  </si>
  <si>
    <t>Danone</t>
  </si>
  <si>
    <t>119,Mozambik,Afrika</t>
  </si>
  <si>
    <t>PT Bank Central Asia</t>
  </si>
  <si>
    <t>120,Myanmar,Asia</t>
  </si>
  <si>
    <t>PT Modern Pet Indonesia</t>
  </si>
  <si>
    <t>121,Namibia,Afrika</t>
  </si>
  <si>
    <t>PT. Karya Energi Indonesia</t>
  </si>
  <si>
    <t>122,Nauru,Oceania</t>
  </si>
  <si>
    <t>Kementerian Kehutanan</t>
  </si>
  <si>
    <t>123,Nepal,Asia</t>
  </si>
  <si>
    <t>PT. Bank Negara Indonesia (Persero), Tbk.</t>
  </si>
  <si>
    <t>124,Niger,Afrika</t>
  </si>
  <si>
    <t>Julong Group Indonesia</t>
  </si>
  <si>
    <t>125,Nigeria,Afrika</t>
  </si>
  <si>
    <t>126,Nikaragua,Amerika Utara</t>
  </si>
  <si>
    <t>Indomaret Group (PT Indomarco Prismatama)</t>
  </si>
  <si>
    <t>127,Norwegia,Eropa</t>
  </si>
  <si>
    <t>Facetology</t>
  </si>
  <si>
    <t>128,Oman,Asia</t>
  </si>
  <si>
    <t>PT Kurnia Jaya Indonesia</t>
  </si>
  <si>
    <t>129,Pakistan,Asia</t>
  </si>
  <si>
    <t>Law Office Dr. Surya Wahyu Danil S. H., M. H &amp; Partners</t>
  </si>
  <si>
    <t>130,Palau,Oceania</t>
  </si>
  <si>
    <t>PT Zeus Kimiatama Indonesia</t>
  </si>
  <si>
    <t>131,Palestina,Asia</t>
  </si>
  <si>
    <t>Malinda</t>
  </si>
  <si>
    <t>132,Panama,Amerika Utara</t>
  </si>
  <si>
    <t>133,Pantai Gading,Afrika</t>
  </si>
  <si>
    <t>PT Divistant Teknologi Indonesia</t>
  </si>
  <si>
    <t>134,Papua Nugini,Oceania</t>
  </si>
  <si>
    <t>PT. Supra Boga Lestari Tbk</t>
  </si>
  <si>
    <t>135,Paraguay,Amerika Selatan</t>
  </si>
  <si>
    <t>Pemerintah Kota Semarang</t>
  </si>
  <si>
    <t>136,Peru,Amerika Selatan</t>
  </si>
  <si>
    <t>PT SUTINDO RAYA MULIA</t>
  </si>
  <si>
    <t>137,Polandia,Eropa</t>
  </si>
  <si>
    <t>Dinas Kebudayaan Provinsi DKI Jakarta</t>
  </si>
  <si>
    <t>138,Portugal,Eropa</t>
  </si>
  <si>
    <t>139,Prancis,Eropa</t>
  </si>
  <si>
    <t>AVESTA Battery &amp; Energy Engineering, B.V.</t>
  </si>
  <si>
    <t>140,Qatar,Asia</t>
  </si>
  <si>
    <t>141,Republik Dominika,Amerika Utara</t>
  </si>
  <si>
    <t>PT SOCA ANUGERAH INDONESIA</t>
  </si>
  <si>
    <t>142,Rumania,Eropa</t>
  </si>
  <si>
    <t>Siloam Hospitals Group</t>
  </si>
  <si>
    <t>143,Rusia,Eropa/Asia</t>
  </si>
  <si>
    <t>RSUD Pademangam</t>
  </si>
  <si>
    <t>144,Rwanda,Afrika</t>
  </si>
  <si>
    <t>Bank Indonesia</t>
  </si>
  <si>
    <t>145,Saint Kitts dan Nevis,Amerika Utara</t>
  </si>
  <si>
    <t>PT Serasi Autoraya</t>
  </si>
  <si>
    <t>146,Saint Lucia,Amerika Utara</t>
  </si>
  <si>
    <t>PT Wahana Ottomitra Multiartha Tbk</t>
  </si>
  <si>
    <t>147,Saint Vincent dan Grenadines,Amerika Utara</t>
  </si>
  <si>
    <t>Baverly florist &amp; kusuma asri decoration and wedding organizer</t>
  </si>
  <si>
    <t>148,Samoa,Oceania</t>
  </si>
  <si>
    <t>149,San Marino,Eropa</t>
  </si>
  <si>
    <t>PT Pendidikan Ganesha Operation</t>
  </si>
  <si>
    <t>150,Sao Tome dan Principe,Afrika</t>
  </si>
  <si>
    <t>PT Dunia Boga Indonesia</t>
  </si>
  <si>
    <t>151,Selandia Baru,Oceania</t>
  </si>
  <si>
    <t>PT Cahaya Surya Pratama</t>
  </si>
  <si>
    <t>152,Senegal,Afrika</t>
  </si>
  <si>
    <t>153,Serbia,Eropa</t>
  </si>
  <si>
    <t>Garuda Indonesia</t>
  </si>
  <si>
    <t>154,Seychelles,Afrika</t>
  </si>
  <si>
    <t>PT Menara Astra</t>
  </si>
  <si>
    <t>155,Sierra Leone,Afrika</t>
  </si>
  <si>
    <t>Lembaga Ketahanan Nasional Republik Indonesia</t>
  </si>
  <si>
    <t>156,Singapura,Asia</t>
  </si>
  <si>
    <t>PT. Kawan Lama Group</t>
  </si>
  <si>
    <t>157,Siprus,Eropa</t>
  </si>
  <si>
    <t xml:space="preserve">Guru </t>
  </si>
  <si>
    <t xml:space="preserve">SDN 2 Karanganyar </t>
  </si>
  <si>
    <t>158,Slovakia,Eropa</t>
  </si>
  <si>
    <t>PT GMF Aeroasia</t>
  </si>
  <si>
    <t>159,Slovenia,Eropa</t>
  </si>
  <si>
    <t>PT Borong Teknologi Indonesia</t>
  </si>
  <si>
    <t>160,Solomon (Kepulauan),Oceania</t>
  </si>
  <si>
    <t>Trias Maha Daya</t>
  </si>
  <si>
    <t>161,Somalia,Afrika</t>
  </si>
  <si>
    <t>Bank Central Asia Tbk</t>
  </si>
  <si>
    <t>162,Spanyol,Eropa</t>
  </si>
  <si>
    <t>PT Shopee International Indonesia (Shopee)</t>
  </si>
  <si>
    <t>163,Sri Lanka,Asia</t>
  </si>
  <si>
    <t>PT Astra Honda Motor</t>
  </si>
  <si>
    <t>164,Sudan,Afrika</t>
  </si>
  <si>
    <t>PT. BCA Finance</t>
  </si>
  <si>
    <t>165,Sudan Selatan,Afrika</t>
  </si>
  <si>
    <t>166,Suriah,Asia</t>
  </si>
  <si>
    <t>Nomura Research Institute Indonesia</t>
  </si>
  <si>
    <t>167,Suriname,Amerika Selatan</t>
  </si>
  <si>
    <t xml:space="preserve">LPDP </t>
  </si>
  <si>
    <t>168,Swedia,Eropa</t>
  </si>
  <si>
    <t>169,Swiss,Eropa</t>
  </si>
  <si>
    <t>PT. HPPM</t>
  </si>
  <si>
    <t>170,Tajikistan,Asia</t>
  </si>
  <si>
    <t>PT Sinerigi Konsultan Indonesia</t>
  </si>
  <si>
    <t>171,Tanzania,Afrika</t>
  </si>
  <si>
    <t>PT. Nederman Indonesia</t>
  </si>
  <si>
    <t>172,Thailand,Asia</t>
  </si>
  <si>
    <t>Guru</t>
  </si>
  <si>
    <t>SMAIT AlMarjan Bekasi dan Bimbel Salemba Group</t>
  </si>
  <si>
    <t>173,Timor-Leste,Asia</t>
  </si>
  <si>
    <t>174,Togo,Afrika</t>
  </si>
  <si>
    <t>PT. PwC Indonesia Advisory</t>
  </si>
  <si>
    <t>175,Tonga,Oceania</t>
  </si>
  <si>
    <t>PwC Indonesia</t>
  </si>
  <si>
    <t>176,Trinidad dan Tobago,Amerika Utara</t>
  </si>
  <si>
    <t>DBS Indonesia</t>
  </si>
  <si>
    <t>177,Tunisia,Afrika</t>
  </si>
  <si>
    <t>Seven Retail (Sparks English)</t>
  </si>
  <si>
    <t>178,Turki,Asia/Eropa</t>
  </si>
  <si>
    <t>PT Bank Mandiri (Persero) Tbk</t>
  </si>
  <si>
    <t>179,Turkmenistan,Asia</t>
  </si>
  <si>
    <t>Kementerian Pendidikan, Kebudayaan, Riset, dan Teknologi</t>
  </si>
  <si>
    <t>180,Tuvalu,Oceania</t>
  </si>
  <si>
    <t>SMPN 212 Jakarta</t>
  </si>
  <si>
    <t>181,Uganda,Afrika</t>
  </si>
  <si>
    <t>Badan Riset dan Inovasi Nasional (BRIN)</t>
  </si>
  <si>
    <t>182,Ukraina,Eropa</t>
  </si>
  <si>
    <t>PT BASF Distribution Indonesia</t>
  </si>
  <si>
    <t>183,Uni Emirat Arab,Asia</t>
  </si>
  <si>
    <t>Kementerian Perdagangan</t>
  </si>
  <si>
    <t>184,Uruguay,Amerika Selatan</t>
  </si>
  <si>
    <t>Yayasan Masyarakat Mandiri Film Indonesia/In-Docs</t>
  </si>
  <si>
    <t>185,Uzbekistan,Asia</t>
  </si>
  <si>
    <t>Amana zahro tour and travel</t>
  </si>
  <si>
    <t>186,Vanuatu,Oceania</t>
  </si>
  <si>
    <t>PT BCA Finance</t>
  </si>
  <si>
    <t>187,Vatikan,Eropa</t>
  </si>
  <si>
    <t>PT Indonesia Infrastructure Finance</t>
  </si>
  <si>
    <t>188,Venezuela,Amerika Selatan</t>
  </si>
  <si>
    <t>PT Petrosea Tbk</t>
  </si>
  <si>
    <t>189,Vietnam,Asia</t>
  </si>
  <si>
    <t>Cv sandang mutiara</t>
  </si>
  <si>
    <t>190,Yaman,Asia</t>
  </si>
  <si>
    <t>REHAU INDONESIA</t>
  </si>
  <si>
    <t>191,Yordania,Asia</t>
  </si>
  <si>
    <t>PT Millenio Amerta Data</t>
  </si>
  <si>
    <t>192,Yunani,Eropa</t>
  </si>
  <si>
    <t>PT Global Jet Ecommerce</t>
  </si>
  <si>
    <t>193,Zambia,Afrika</t>
  </si>
  <si>
    <t>Emerging Solar Indonesia</t>
  </si>
  <si>
    <t>194,Zimbabwe,Afrika</t>
  </si>
  <si>
    <t xml:space="preserve">Pegawai Kontrak </t>
  </si>
  <si>
    <t>Panitia Pemilihan Kecamatan Beji KPU Kota Depok</t>
  </si>
  <si>
    <t>Politeknik Negeri Jakarta</t>
  </si>
  <si>
    <t>PT Summit Oto Finance</t>
  </si>
  <si>
    <t>Musisi</t>
  </si>
  <si>
    <t>Garudayaksa Indonesia Philharmonic</t>
  </si>
  <si>
    <t>Angkasa Architect</t>
  </si>
  <si>
    <t>Allianz Life Indonesia</t>
  </si>
  <si>
    <t>Prudential</t>
  </si>
  <si>
    <t>PT. Sayur Untuk Semua (Segari)</t>
  </si>
  <si>
    <t>PT PGAS Solution</t>
  </si>
  <si>
    <t xml:space="preserve">PT. Ameliore Solusi Analitika </t>
  </si>
  <si>
    <t>PT SMART Tbk</t>
  </si>
  <si>
    <t>Cyviz As</t>
  </si>
  <si>
    <t>BRI</t>
  </si>
  <si>
    <t>Asian Development Bank (deployment to Kementerian Koordinasi Pembangunan Manusia dan Kebudayaan)</t>
  </si>
  <si>
    <t>SDN 175 Palembang</t>
  </si>
  <si>
    <t>PT Sayap Mas Utama (Wings Group)</t>
  </si>
  <si>
    <t>Perusahaan</t>
  </si>
  <si>
    <t>PT ABC President Indonesia</t>
  </si>
  <si>
    <t>KAP Gideon Adi dan Rekan</t>
  </si>
  <si>
    <t>PT. Erajaya Swasembada Tbk</t>
  </si>
  <si>
    <t>BNPT</t>
  </si>
  <si>
    <t>PT. Integrasi Tri Tama Cendekia</t>
  </si>
  <si>
    <t>Tani Kite</t>
  </si>
  <si>
    <t>PT IQ Edukasi</t>
  </si>
  <si>
    <t>Govtech Edu</t>
  </si>
  <si>
    <t>Badan Penyelenggara Jaminan Produk Halal (BPJPH)</t>
  </si>
  <si>
    <t xml:space="preserve">PT BANYUASIN NUSANTARA SEJAHTERA </t>
  </si>
  <si>
    <t>Economic Research Institute for ASEAN and East Asia (ERIA)</t>
  </si>
  <si>
    <t>PT Transcosmos Indonesia</t>
  </si>
  <si>
    <t>Pertamina Gas Negara</t>
  </si>
  <si>
    <t>PT Ruang Raya Indonesia</t>
  </si>
  <si>
    <t>Bytedance</t>
  </si>
  <si>
    <t>Seven Retail Group</t>
  </si>
  <si>
    <t xml:space="preserve">Koolaborasi Agency </t>
  </si>
  <si>
    <t>Fusion CX</t>
  </si>
  <si>
    <t>Inspektorat Jenderal Kementerian Dalam Negeri Republik Indonesia</t>
  </si>
  <si>
    <t>PT. Merak Chemicals Indonesia</t>
  </si>
  <si>
    <t>Blue Bird Group</t>
  </si>
  <si>
    <t>marketing</t>
  </si>
  <si>
    <t xml:space="preserve">PT. Novell Pharmaceutical Laboratories </t>
  </si>
  <si>
    <t>MRT Group</t>
  </si>
  <si>
    <t>Pt.Hijau sukses bersama</t>
  </si>
  <si>
    <t>DHL EXPRESS INDONESIA</t>
  </si>
  <si>
    <t>Universitas Bakrie</t>
  </si>
  <si>
    <t xml:space="preserve">PT Alima Sarana Properti </t>
  </si>
  <si>
    <t>Freelancer</t>
  </si>
  <si>
    <t>Self Employed</t>
  </si>
  <si>
    <t>PT Grhanis Putra Propertindo</t>
  </si>
  <si>
    <t>Mahasiswa Magang</t>
  </si>
  <si>
    <t>PT Bank Central Asia Tbk.</t>
  </si>
  <si>
    <t>GURU</t>
  </si>
  <si>
    <t>SMPIT AL ISLAM KUDUS</t>
  </si>
  <si>
    <t>SD Negeri Bulusan</t>
  </si>
  <si>
    <t>PT Saba Indomedika</t>
  </si>
  <si>
    <t xml:space="preserve">PT Djarum </t>
  </si>
  <si>
    <t>SMP 1 JEKULO</t>
  </si>
  <si>
    <t>PT. WAHYU PRIMA JAYA</t>
  </si>
  <si>
    <t>PT Adaro Power</t>
  </si>
  <si>
    <t>CTBC Indonesia</t>
  </si>
  <si>
    <t>SDN Cempaka Putih Barat 01 Jakarta Pusat</t>
  </si>
  <si>
    <t>Konsultan Pendidikan</t>
  </si>
  <si>
    <t>Studies in Turkiye</t>
  </si>
  <si>
    <t>PT ARSANA RETAIL INDONESIA</t>
  </si>
  <si>
    <t>Telkomsigma</t>
  </si>
  <si>
    <t>Princeton Digital Group</t>
  </si>
  <si>
    <t>PT Inditeknokreasi Internasional</t>
  </si>
  <si>
    <t>RA Al Islamiyah</t>
  </si>
  <si>
    <t>Mahkamah Agung</t>
  </si>
  <si>
    <t>Kementrian Pelindungan Pekerja Migran Indonesia</t>
  </si>
  <si>
    <t>English First</t>
  </si>
  <si>
    <t>PT Alpha Creative</t>
  </si>
  <si>
    <t>IT Auditor</t>
  </si>
  <si>
    <t>KPMG Indonesia</t>
  </si>
  <si>
    <t>PT. BCA FINANCE</t>
  </si>
  <si>
    <t>PT Estha Yudha Ekatama (EYE Indonesia) bagian dari PT Elang Mahkota Teknologi (The Emtek Group)</t>
  </si>
  <si>
    <t>PT Karya Alam Selaras</t>
  </si>
  <si>
    <t>PT Quantum Consumer Solutions</t>
  </si>
  <si>
    <t>Balai Harta Peninggalan Jakarta Kementerian Hukum RI</t>
  </si>
  <si>
    <t>PT. Total Persada Indonesia</t>
  </si>
  <si>
    <t>PT. Solusi Tiket Digital</t>
  </si>
  <si>
    <t>Diagma Volkschule dan OTCA</t>
  </si>
  <si>
    <t>PT SUMBER ALFARIA TRIJAYA TBK</t>
  </si>
  <si>
    <t>PT. Semesta Karya Digitama</t>
  </si>
  <si>
    <t>PT Waskita Karya</t>
  </si>
  <si>
    <t>PT Pertamina (Persero)</t>
  </si>
  <si>
    <t>PT LOTTE SHOPPING INDONESIA</t>
  </si>
  <si>
    <t xml:space="preserve">PT Paragon Technology and Innovation </t>
  </si>
  <si>
    <t>PT. Perta Life Insurance</t>
  </si>
  <si>
    <t>Ibu Rumah Tangga (IRT)</t>
  </si>
  <si>
    <t>PT Gakarsa Cipta Universa</t>
  </si>
  <si>
    <t>Pendidikan Dokter Spesialis</t>
  </si>
  <si>
    <t>Infineon Technologies</t>
  </si>
  <si>
    <t>Buruh/Pekerja Non Formal</t>
  </si>
  <si>
    <t>UMKM RJbag Production</t>
  </si>
  <si>
    <t>Euromedica Group</t>
  </si>
  <si>
    <t>Dhatu Decor</t>
  </si>
  <si>
    <t>PT Propan Raya ICC</t>
  </si>
  <si>
    <t>PT.The univenus (Sinarmas group asia pulp and paper)</t>
  </si>
  <si>
    <t>PT. Cipta Sedaya Digital Indonesia (Berijalan member of Astra)</t>
  </si>
  <si>
    <t>Agrisolute</t>
  </si>
  <si>
    <t>Skema Data Indonesia</t>
  </si>
  <si>
    <t>PT. Pegadaian</t>
  </si>
  <si>
    <t>PT. Skema Data Indonesia</t>
  </si>
  <si>
    <t>Fintelite (PT Maju Bersama Alia)</t>
  </si>
  <si>
    <t>PT KB FINANSIA MULTI FINANCE</t>
  </si>
  <si>
    <t>PT Global Poin Indonesia</t>
  </si>
  <si>
    <t>Geekhunter International</t>
  </si>
  <si>
    <t>Lembaga Sensor Film</t>
  </si>
  <si>
    <t>PT Lancar Wiguna Sejahtera</t>
  </si>
  <si>
    <t>PT PMK</t>
  </si>
  <si>
    <t>BNI</t>
  </si>
  <si>
    <t>INOTEK FOUNDATION</t>
  </si>
  <si>
    <t>A plus Study Center</t>
  </si>
  <si>
    <t>ex Hostinger, ex Tanihub</t>
  </si>
  <si>
    <t>MTs. Nahdlatul Muslimin</t>
  </si>
  <si>
    <t>PT PURA NUSA PERSADA</t>
  </si>
  <si>
    <t>Philip Morris International</t>
  </si>
  <si>
    <t>Pugnator.id</t>
  </si>
  <si>
    <t xml:space="preserve">Wirausaha </t>
  </si>
  <si>
    <t xml:space="preserve">UD. Arisma Jaya Kulit Tanggulangin </t>
  </si>
  <si>
    <t>Hastag Santri</t>
  </si>
  <si>
    <t xml:space="preserve">Hitachi Energy </t>
  </si>
  <si>
    <t>Non Government Organisation</t>
  </si>
  <si>
    <t>Aliansi Kebangsaan</t>
  </si>
  <si>
    <t>Climate and Land Use Alliance</t>
  </si>
  <si>
    <t>PTUN Pekanbaru</t>
  </si>
  <si>
    <t>PT. BRI ASURANSI INDONESIA</t>
  </si>
  <si>
    <t>Puskesmas Limau Purut</t>
  </si>
  <si>
    <t>Advokat</t>
  </si>
  <si>
    <t>Law Firm Solutions MMS&amp;Co.</t>
  </si>
  <si>
    <t>PT. Global Digital Niaga</t>
  </si>
  <si>
    <t xml:space="preserve">Universitas Widyatama </t>
  </si>
  <si>
    <t>PT. Ganda Alam Makmur</t>
  </si>
  <si>
    <t>PT. nusantara compnet integrator</t>
  </si>
  <si>
    <t>PT. Bumi Maestroayu</t>
  </si>
  <si>
    <t>PT. Supra Boga Lestari, Tbk</t>
  </si>
  <si>
    <t>PT. Karya Agung Retail</t>
  </si>
  <si>
    <t>PT. Bank Rakyat Indonesia (Persero) Tbk</t>
  </si>
  <si>
    <t>NCTA</t>
  </si>
  <si>
    <t>PUZZLE A</t>
  </si>
  <si>
    <t>Gojek</t>
  </si>
  <si>
    <t>Bank bri</t>
  </si>
  <si>
    <t>SMK Assa'idiyah Kudus</t>
  </si>
  <si>
    <t>PT. DCP TRAVELLING PRODUCTS</t>
  </si>
  <si>
    <t>PT GREAT GOLDEN INDONESIA</t>
  </si>
  <si>
    <t xml:space="preserve">PT Benesse Indonesia </t>
  </si>
  <si>
    <t xml:space="preserve">PT. Prakarsa Guna Setia </t>
  </si>
  <si>
    <t>Crafter buket</t>
  </si>
  <si>
    <t>Rayya.glitz florist kudus</t>
  </si>
  <si>
    <t>KB Al Asyiri</t>
  </si>
  <si>
    <t xml:space="preserve">SD NEGERI SERANGAN 1 </t>
  </si>
  <si>
    <t>PT. Sukun Wartono Indonesia</t>
  </si>
  <si>
    <t>PT. BANK BRI Tbk</t>
  </si>
  <si>
    <t>SMP 2 Kaliwungu Kudus</t>
  </si>
  <si>
    <t>Ibu Rumah Tangga</t>
  </si>
  <si>
    <t>SMA Tarakanita Magelang &amp; Voks Radio Jogja</t>
  </si>
  <si>
    <t xml:space="preserve">PT Sumbawa Jutaraya </t>
  </si>
  <si>
    <t>PT Prakarsa Alam Segar</t>
  </si>
  <si>
    <t>PT Royal Pesona Indonesia</t>
  </si>
  <si>
    <t>PT. Gebe Sinar Perkasa</t>
  </si>
  <si>
    <t>PT. Matahari Sakti</t>
  </si>
  <si>
    <t>Blibli.com</t>
  </si>
  <si>
    <t>PT Syngenta Seed Indonesia</t>
  </si>
  <si>
    <t>PT Telkom Indonesia Tbk</t>
  </si>
  <si>
    <t>PT Yamaha Electronics Manufacturing Indonesia</t>
  </si>
  <si>
    <t>PT Triadharma Solusi Sejahtera</t>
  </si>
  <si>
    <t>PT Mekko Metal Mining</t>
  </si>
  <si>
    <t>Pemerintah Kabupaten Kayong Utara</t>
  </si>
  <si>
    <t>PT Tangkas Cipta Optimal (TACO)</t>
  </si>
  <si>
    <t>Danone Indonesia</t>
  </si>
  <si>
    <t>Your Self Studio</t>
  </si>
  <si>
    <t>PPDS (Residen)</t>
  </si>
  <si>
    <t>RS M DJAMIL PADANG</t>
  </si>
  <si>
    <t>Siloam Hospital Palembang</t>
  </si>
  <si>
    <t>Sadewa Law Office</t>
  </si>
  <si>
    <t>PION Clinician</t>
  </si>
  <si>
    <t>Kantor Imigrasi Kelas I TPI Jambi</t>
  </si>
  <si>
    <t xml:space="preserve">PT ROBERT BOSCH </t>
  </si>
  <si>
    <t>PT Bank Rakyat Indonesia</t>
  </si>
  <si>
    <t>Lembaga Ketahanan Nasional</t>
  </si>
  <si>
    <t>HDI</t>
  </si>
  <si>
    <t>PT. Beacons Pharmaceuticals Industries</t>
  </si>
  <si>
    <t>Le Le Mandarin Center</t>
  </si>
  <si>
    <t>PT PGAS SOLUTION</t>
  </si>
  <si>
    <t>Badan Pemeriksa Keuangan Perwakilan Provinsi Kalimantan Timur</t>
  </si>
  <si>
    <t>PKBM Budi Luhur Kota Tegal Program Homeschooling ABC'D</t>
  </si>
  <si>
    <t>Dinas Pendidikan Kota Semarang</t>
  </si>
  <si>
    <t xml:space="preserve">PT. Perkebunan Nusantara </t>
  </si>
  <si>
    <t>SMK NEGERI 1 MATARAM</t>
  </si>
  <si>
    <t>PT Bank Danamon Indonesia</t>
  </si>
  <si>
    <t xml:space="preserve">Lazada Indonesia </t>
  </si>
  <si>
    <t>PT. Gramedia Asri Media</t>
  </si>
  <si>
    <t>Bank Rakyat Indonesia</t>
  </si>
  <si>
    <t>PT. Antasena Megah Persada</t>
  </si>
  <si>
    <t>PT Social Bella Indonesia</t>
  </si>
  <si>
    <t>PT. Taifa Jaya Development</t>
  </si>
  <si>
    <t>PT Bank Negara Indonesia (Persero) Tbk</t>
  </si>
  <si>
    <t>Kementerian Energi dan Sumber Daya Mineral</t>
  </si>
  <si>
    <t>Bank Central Asia</t>
  </si>
  <si>
    <t>Sekolah</t>
  </si>
  <si>
    <t>Zoom Communication</t>
  </si>
  <si>
    <t>AL-YA'LU International Outlook School</t>
  </si>
  <si>
    <t>PT Sarana Multi Infrastruktur (Persero)</t>
  </si>
  <si>
    <t>FKG UI</t>
  </si>
  <si>
    <t>PT. Yokogawa Indonesia</t>
  </si>
  <si>
    <t xml:space="preserve">PT MMS </t>
  </si>
  <si>
    <t>Future Lestari Governance (FLG) Advisory</t>
  </si>
  <si>
    <t>Kementerian Koordinator Bidang Perekonomian RI</t>
  </si>
  <si>
    <t>PT. Kuka Home Furniture Indonesia</t>
  </si>
  <si>
    <t>CBS Techno Co.Ltd.</t>
  </si>
  <si>
    <t>Kementerian Perumahan dan Kawasan Permukiman</t>
  </si>
  <si>
    <t>Abu Dhabi National Oil Company (ADNOC)</t>
  </si>
  <si>
    <t>PT ORANG TUA GROUP</t>
  </si>
  <si>
    <t>PT Perkebunan Nusantara I</t>
  </si>
  <si>
    <t>ADR Group of Companies</t>
  </si>
  <si>
    <t>PT. Wahana Nusantara Rucika</t>
  </si>
  <si>
    <t>Sucofindo</t>
  </si>
  <si>
    <t>PT ANUGRAH PHARMINDO LESTARI</t>
  </si>
  <si>
    <t>PT Shopee International Indonesia</t>
  </si>
  <si>
    <t>Yonex Indonesia</t>
  </si>
  <si>
    <t>PT Indofood Sukses Makmur, Tbk - Divisi Bogasari Cibitung Plant</t>
  </si>
  <si>
    <t>MTs Tahfidz Yanbu'ul Qur'an Kudus</t>
  </si>
  <si>
    <t>Xiaomi</t>
  </si>
  <si>
    <t>PT. Bomin Permata Abadi</t>
  </si>
  <si>
    <t>Pura Group</t>
  </si>
  <si>
    <t>Setjen KPU Jawa Tengah</t>
  </si>
  <si>
    <t xml:space="preserve">Scriptiva </t>
  </si>
  <si>
    <t>SMK TI Pembangunan Cimahi</t>
  </si>
  <si>
    <t>PT. PNM</t>
  </si>
  <si>
    <t>MI Raudlatut Tholibin</t>
  </si>
  <si>
    <t>Kreatologi Communication</t>
  </si>
  <si>
    <t>PT. Kemiko Indonesia</t>
  </si>
  <si>
    <t>Pro Bros Providore</t>
  </si>
  <si>
    <t>Dinas Kepemudaan Olahraga dan Pariwisata Kabupaten Pati</t>
  </si>
  <si>
    <t>PT. Mantappu Berkat Digital</t>
  </si>
  <si>
    <t>Ibu rumah tangga</t>
  </si>
  <si>
    <t>Kejaksaan Negeri Halmahera Tengah</t>
  </si>
  <si>
    <t>PT. Delifru Utama Indonesia</t>
  </si>
  <si>
    <t>pt. daya sinergi corpora</t>
  </si>
  <si>
    <t>Universitas Terbuka</t>
  </si>
  <si>
    <t>PT Bintang Utama Distribusindo Raya (Wings Group)</t>
  </si>
  <si>
    <t>TENAGA PENDIDIK</t>
  </si>
  <si>
    <t>SMP BHAKTI PRAJA NALUMSARI JEPARA</t>
  </si>
  <si>
    <t>SMDC Apparel, Sambal Mas Gendut, Freelance (designer, editor, programmer, creative content)</t>
  </si>
  <si>
    <t>RSUD Bangli</t>
  </si>
  <si>
    <t>PT. Holistic Medicine Bali</t>
  </si>
  <si>
    <t>BPJS Ketenagakerjaan</t>
  </si>
  <si>
    <t>Cinnamon Montessori School</t>
  </si>
  <si>
    <t>PT. Solusi Sirkular Indonesia</t>
  </si>
  <si>
    <t>Punkalarich</t>
  </si>
  <si>
    <t>PT Bank Central Asia TBK</t>
  </si>
  <si>
    <t>Kementerian Sosial RI</t>
  </si>
  <si>
    <t>Fraksi Gerindra</t>
  </si>
  <si>
    <t>PT Tropically Group</t>
  </si>
  <si>
    <t>UPTD Puskesmas Dengilo</t>
  </si>
  <si>
    <t xml:space="preserve">KANTOR IMIGRASI Banggai </t>
  </si>
  <si>
    <t>PT. Detta Marina</t>
  </si>
  <si>
    <t>Wirausaha</t>
  </si>
  <si>
    <t>PT SEKAWAN MAJU PERKASA (Covee Indonesia)</t>
  </si>
  <si>
    <t>PT. Hanwha Life Insurance Indonesia</t>
  </si>
  <si>
    <t>ADVOKAT</t>
  </si>
  <si>
    <t>KANTOR HUKUM M.SHOLEH AND FRIENDS</t>
  </si>
  <si>
    <t>Pakuwon Group</t>
  </si>
  <si>
    <t>PT. Yakult Indonesia Persada</t>
  </si>
  <si>
    <t>PT. Bali Maya Permai Food Canning Industry</t>
  </si>
  <si>
    <t>Dinas Komunikasi Informatika dan Persandian Kabupaten Bolaang Mongondow Utara</t>
  </si>
  <si>
    <t>KPI Media Pte. Ltd.</t>
  </si>
  <si>
    <t>PT Jingg Kreasi Multiguna (ALVA OLRANGE)</t>
  </si>
  <si>
    <t>TELKOM INDONESIA - KUDUS</t>
  </si>
  <si>
    <t>PT Penerbit Buku Erlangga Mahameru</t>
  </si>
  <si>
    <t>CV. Proyara Berkah Abadi</t>
  </si>
  <si>
    <t>Cv semesta hasil bumi</t>
  </si>
  <si>
    <t xml:space="preserve">Wirausaha kuliner </t>
  </si>
  <si>
    <t>Inspektorat Kota Metro</t>
  </si>
  <si>
    <t>Kementerian Perhubungan</t>
  </si>
  <si>
    <t>PT Easy Management Systems</t>
  </si>
  <si>
    <t>PT. BNI (persero) Tbk</t>
  </si>
  <si>
    <t>Samsung Indonesia</t>
  </si>
  <si>
    <t>PT. Merak Energi Indonesia</t>
  </si>
  <si>
    <t>Pegawai Pemerintah Non ASN</t>
  </si>
  <si>
    <t>KBRI Bandar Seri Begawan</t>
  </si>
  <si>
    <t>PT Charoen Pokphand Indonesia</t>
  </si>
  <si>
    <t>Private Course by Celline</t>
  </si>
  <si>
    <t>PT ZTT</t>
  </si>
  <si>
    <t>Dinas PUPR Provinsi Kalbar</t>
  </si>
  <si>
    <t>Galaxy Property</t>
  </si>
  <si>
    <t>Sun Education Group</t>
  </si>
  <si>
    <t>PT. Nestle Indonesia</t>
  </si>
  <si>
    <t>Trustmedis</t>
  </si>
  <si>
    <t>Kemendes PDTT</t>
  </si>
  <si>
    <t>Pegawai Kontrak</t>
  </si>
  <si>
    <t>HETI ADB Project ITS</t>
  </si>
  <si>
    <t>Rumah Sakit Universitas Airlangga</t>
  </si>
  <si>
    <t>PT Aligis Express Indonesia</t>
  </si>
  <si>
    <t>PT. IDEA CLOUD INDONESIA</t>
  </si>
  <si>
    <t>PT Gapura Liqua Solutions</t>
  </si>
  <si>
    <t>PT Petrokimia Gresik</t>
  </si>
  <si>
    <t>PT Griyo Tulodo</t>
  </si>
  <si>
    <t>PT. Bawalaksana Central Industrial</t>
  </si>
  <si>
    <t>Regional HCBP Spesialist</t>
  </si>
  <si>
    <t>PT Win Access Telecommunication</t>
  </si>
  <si>
    <t>SUMBER ALAM RATTAN</t>
  </si>
  <si>
    <t>Mahasiswi Profesi Guru</t>
  </si>
  <si>
    <t>PT.Rajawali Nusindo</t>
  </si>
  <si>
    <t>PT. Gudang Garam Tbk</t>
  </si>
  <si>
    <t>PT. Almicos Pratama</t>
  </si>
  <si>
    <t>PT PLN (Persero)</t>
  </si>
  <si>
    <t>Karyawan Magang</t>
  </si>
  <si>
    <t>KB Bank Bukopin</t>
  </si>
  <si>
    <t xml:space="preserve">SMAN 3 Banjar </t>
  </si>
  <si>
    <t>Global Prestasi School Bandung</t>
  </si>
  <si>
    <t>PT. Perikanan Indonesia</t>
  </si>
  <si>
    <t xml:space="preserve">Dinas Kesehatan </t>
  </si>
  <si>
    <t xml:space="preserve">Depoma Catering </t>
  </si>
  <si>
    <t>Man Insan Cendekia Gorontalo</t>
  </si>
  <si>
    <t>Dokter</t>
  </si>
  <si>
    <t>RSUD</t>
  </si>
  <si>
    <t>Konten Kreator FnB</t>
  </si>
  <si>
    <t>Qara’a (PT. Kreasi Putra Hotama)</t>
  </si>
  <si>
    <t>PT Rocket Chicken Indonesia</t>
  </si>
  <si>
    <t>bank bjb</t>
  </si>
  <si>
    <t>PT. PLN PCN</t>
  </si>
  <si>
    <t>Kementerian Komunikasi dan Digital</t>
  </si>
  <si>
    <t>PT. Wana Subur Lestari</t>
  </si>
  <si>
    <t>PT NUSA SURYA SAKTI (NSS GROUP)</t>
  </si>
  <si>
    <t>Cendekia Course, IQRO'L</t>
  </si>
  <si>
    <t>CV Sealant Surabaya</t>
  </si>
  <si>
    <t>Primary English</t>
  </si>
  <si>
    <t>Mengajar Bimbel</t>
  </si>
  <si>
    <t>MrKrisOlimp</t>
  </si>
  <si>
    <t xml:space="preserve">Sekretariat Daerah Kabupaten Subang </t>
  </si>
  <si>
    <t>DINAS LINGKUNGAN HIDUP DAN KEBERSIHAN KABUPATEN BADUNG</t>
  </si>
  <si>
    <t>PT. Riliv Psikologi Indonesia</t>
  </si>
  <si>
    <t>PT Bank Negara Indonesia</t>
  </si>
  <si>
    <t>Pertamina</t>
  </si>
  <si>
    <t>PT Wook Global Technology</t>
  </si>
  <si>
    <t>Bola Ta Arsitek</t>
  </si>
  <si>
    <t>HM Sampoerna</t>
  </si>
  <si>
    <t>Genics</t>
  </si>
  <si>
    <t>PT DJARUM</t>
  </si>
  <si>
    <t xml:space="preserve">CV Nemo Semesta Makmur </t>
  </si>
  <si>
    <t>Paralegal</t>
  </si>
  <si>
    <t>Lembaga Bantuan Hukum Kalimantan Utara</t>
  </si>
  <si>
    <t>Usaha kecil menengah</t>
  </si>
  <si>
    <t>LPPM UNG</t>
  </si>
  <si>
    <t>CV Aksara Karya Nusa</t>
  </si>
  <si>
    <t>IAIN Parepare</t>
  </si>
  <si>
    <t>PT Global Jet Cargo</t>
  </si>
  <si>
    <t>PT Danamas Insan Kreasi Andalan</t>
  </si>
  <si>
    <t>Surabaya European School</t>
  </si>
  <si>
    <t>SMP Negeri 16 Makassar</t>
  </si>
  <si>
    <t>KMC Group Consultant</t>
  </si>
  <si>
    <t>PT Rapi Trans Logistik Indonesia</t>
  </si>
  <si>
    <t>Pengajar/Pendidik</t>
  </si>
  <si>
    <t>Bimbel Privat</t>
  </si>
  <si>
    <t xml:space="preserve">PT Otsindo Prima Raya </t>
  </si>
  <si>
    <t xml:space="preserve">SMP Muhammadiyah Tilango </t>
  </si>
  <si>
    <t>PT Sari Coffee Indonesia</t>
  </si>
  <si>
    <t>Universitas Tanjungpura-Fakultas Pertanian</t>
  </si>
  <si>
    <t>PT. Kompas Cyber Media</t>
  </si>
  <si>
    <t>Eternal Tsingshan Group Ltd</t>
  </si>
  <si>
    <t>Dinas Pendidikan Kota Salatiga</t>
  </si>
  <si>
    <t>PT Tunas Bestari Adhiwangsa</t>
  </si>
  <si>
    <t>Lucas, S.H. &amp; Partners</t>
  </si>
  <si>
    <t>Freeport Indonesia - Smelting &amp; Refining</t>
  </si>
  <si>
    <t>Legal Staff</t>
  </si>
  <si>
    <t>Lilo Agung &amp; Co Law Firm</t>
  </si>
  <si>
    <t>PT. Satu Impian Bersama</t>
  </si>
  <si>
    <t>PT BCA FINANCE</t>
  </si>
  <si>
    <t>Privy</t>
  </si>
  <si>
    <t>Pt. Global Jet Express</t>
  </si>
  <si>
    <t>Columbia Edu-Center</t>
  </si>
  <si>
    <t>PT Landmark Jimbaran Development</t>
  </si>
  <si>
    <t>The global fund</t>
  </si>
  <si>
    <t>DPR RI</t>
  </si>
  <si>
    <t>PT Implora Sukses Abadi</t>
  </si>
  <si>
    <t>Kementerian Keuangan</t>
  </si>
  <si>
    <t>Science Society</t>
  </si>
  <si>
    <t>PT. Chevron Pasific Indonesia</t>
  </si>
  <si>
    <t xml:space="preserve">PT Indofood CBP Sukses Makmur Tbk. </t>
  </si>
  <si>
    <t>RushOwl Singapore Pte Ltd</t>
  </si>
  <si>
    <t>Garasi Abah</t>
  </si>
  <si>
    <t>PT. Ciomas Adisatwa</t>
  </si>
  <si>
    <t>Universitas Islam Negeri Sunan Ampel Surabaya</t>
  </si>
  <si>
    <t>Kementerian Agama Republik Indonesia (Kantor Wilayah Provinsi Jawa Tengah)</t>
  </si>
  <si>
    <t>Astra Credit Companies</t>
  </si>
  <si>
    <t>PT Bank Mandiri (Persero) Tbk.</t>
  </si>
  <si>
    <t>Badan Pengawas Obat dan Makanan Republik Indonesia (BPOM RI)</t>
  </si>
  <si>
    <t>PT. AIMTOPINDO NUANSA KIMIA</t>
  </si>
  <si>
    <t>PT Guthrie International Pulau Laut Refinery</t>
  </si>
  <si>
    <t>PT Rajawali Nusantara Indonesia (Persero)</t>
  </si>
  <si>
    <t>PT Semen Indonesia</t>
  </si>
  <si>
    <t>Mahasiswa Profesi Kedokteran</t>
  </si>
  <si>
    <t>Residen</t>
  </si>
  <si>
    <t xml:space="preserve">RS Mohammad Hoesin </t>
  </si>
  <si>
    <t>Senangpay</t>
  </si>
  <si>
    <t>PT Suricon Gemilang Karya</t>
  </si>
  <si>
    <t>Universitas Ciputra Surabaya</t>
  </si>
  <si>
    <t>Sinar Mas Agro Resources and Technology</t>
  </si>
  <si>
    <t>PT. Bank Mandiri</t>
  </si>
  <si>
    <t>OJK</t>
  </si>
  <si>
    <t>PT Perkebunan Nusantara I Regional 8</t>
  </si>
  <si>
    <t>PT. Djarum</t>
  </si>
  <si>
    <t>Badan Perencanaan Pembangunan Daerah Kabupaten Pangandaran</t>
  </si>
  <si>
    <t>Badan Pemeriksa Keuangan RI</t>
  </si>
  <si>
    <t>PT Naenty Teknologi Indonesia</t>
  </si>
  <si>
    <t>Direktorat Jenderal Bea dan Cukai, Kementerian Keuangan</t>
  </si>
  <si>
    <t xml:space="preserve">KOTRA - Korean Trade &amp; Investment Agency, Embassy of The Republic of Korea </t>
  </si>
  <si>
    <t>PT Cahaya Murni Central Java</t>
  </si>
  <si>
    <t xml:space="preserve">Kawan Lama Group </t>
  </si>
  <si>
    <t>Universitas Nasional Karangturi</t>
  </si>
  <si>
    <t>Enggal Group Indonesia - PT Makanan Siap Makan</t>
  </si>
  <si>
    <t>Beauty District Group</t>
  </si>
  <si>
    <t xml:space="preserve">Beauty District Group </t>
  </si>
  <si>
    <t>Harmoni Law Office &amp; Jeva Studio</t>
  </si>
  <si>
    <t xml:space="preserve">Pemerintah Provinsi Papua Tengah </t>
  </si>
  <si>
    <t>Yayasan Rumah Dua Jari</t>
  </si>
  <si>
    <t>RS Hasan Sadikin Bandung</t>
  </si>
  <si>
    <t>PT Selera</t>
  </si>
  <si>
    <t>Tzu Chi Hospital - Pantai Indah Kapuk</t>
  </si>
  <si>
    <t>Universitas Merdeka Malang</t>
  </si>
  <si>
    <t>Otorita Ibu Kota Nusantara</t>
  </si>
  <si>
    <t>Badan Pemeriksa Keuangan</t>
  </si>
  <si>
    <t>PT SUCOFINDO (PERSERO)</t>
  </si>
  <si>
    <t>Yayasan Ghalih Pelopor Pendidikan (Ghalih Foundation)</t>
  </si>
  <si>
    <t>PT Media Komunika Adilaga</t>
  </si>
  <si>
    <t>Sekretariat Jenderal Komisi Pemilihan Umum Republik Indonesia</t>
  </si>
  <si>
    <t>PT Senayan Trikarya Sempana</t>
  </si>
  <si>
    <t>Balai Taman Nasional Batang Gadis</t>
  </si>
  <si>
    <t>PT Dahana</t>
  </si>
  <si>
    <t>PT Evorise Strategi Lestari (Evorise Consulting)</t>
  </si>
  <si>
    <t>Balai Karantina Hewan,Ikan, dan Tumbuhan Sulawesi Tengah</t>
  </si>
  <si>
    <t>SMP IT Asy-Syadzili</t>
  </si>
  <si>
    <t>PT. Global Rekayasa Konsultan</t>
  </si>
  <si>
    <t>STIKes Yarsi Pontianak</t>
  </si>
  <si>
    <t>PT Inosoft Trans System</t>
  </si>
  <si>
    <t>wirausaha</t>
  </si>
  <si>
    <t>Harvest Furniture</t>
  </si>
  <si>
    <t>Wilmar Nabati</t>
  </si>
  <si>
    <t>Management Trainee</t>
  </si>
  <si>
    <t>Pixelova Digital Creative</t>
  </si>
  <si>
    <t>Pengadilan Negeri Sidikalang</t>
  </si>
  <si>
    <t>Hokkaido Kyoso Partner</t>
  </si>
  <si>
    <t>PT. Bukit Inti Makmur Abadi</t>
  </si>
  <si>
    <t>PT. Perangkat Lunak Indonesia</t>
  </si>
  <si>
    <t>PT. Andalan Fluid Sistem</t>
  </si>
  <si>
    <t>Geprek Gold Chick</t>
  </si>
  <si>
    <t>Yayasan Arkom Indonesia (NGO)</t>
  </si>
  <si>
    <t>PT. ADHIMIX PRECAST INDONESIA</t>
  </si>
  <si>
    <t>Lazada Indonesia</t>
  </si>
  <si>
    <t>Public Relation &amp; Affiliator</t>
  </si>
  <si>
    <t>Indonesia Book Party, Rakamin Academy, &amp; TikTok Tokopedia App</t>
  </si>
  <si>
    <t>Huawei Indonesia</t>
  </si>
  <si>
    <t>Qualysoft Indonesia</t>
  </si>
  <si>
    <t>Vinoqi Entertainment</t>
  </si>
  <si>
    <t>Kementerian Agama</t>
  </si>
  <si>
    <t>MTs NU Ibtidaul Falah</t>
  </si>
  <si>
    <t>PT. BRI</t>
  </si>
  <si>
    <t>Diva Mitra Computer</t>
  </si>
  <si>
    <t>Arabelle Scarf</t>
  </si>
  <si>
    <t>MTs NU Maslakul Falah</t>
  </si>
  <si>
    <t>SMP 2 Kudus</t>
  </si>
  <si>
    <t>Rumah</t>
  </si>
  <si>
    <t>PT. PURA NUSAPERSADA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</si>
</sst>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d/MM/yyyy"/>
    <numFmt numFmtId="166" formatCode="mm&quot;/&quot;dd&quot;/&quot;yyyy"/>
    <numFmt numFmtId="167" formatCode="yyyy-mm-dd"/>
    <numFmt numFmtId="168" formatCode="dd&quot;/&quot;mm&quot;/&quot;yy"/>
  </numFmts>
  <fonts count="22">
    <font>
      <sz val="10.0"/>
      <color rgb="FF000000"/>
      <name val="Arial"/>
      <scheme val="minor"/>
    </font>
    <font>
      <color theme="1"/>
      <name val="Arial"/>
    </font>
    <font>
      <color theme="1"/>
      <name val="Arial"/>
      <scheme val="minor"/>
    </font>
    <font>
      <b/>
      <color theme="1"/>
      <name val="Arial"/>
    </font>
    <font>
      <u/>
      <color rgb="FF1155CC"/>
      <name val="Arial"/>
    </font>
    <font>
      <u/>
      <color rgb="FF0000FF"/>
    </font>
    <font>
      <u/>
      <color rgb="FF0000FF"/>
    </font>
    <font>
      <color rgb="FF434343"/>
      <name val="Roboto"/>
    </font>
    <font>
      <u/>
      <color rgb="FF1155CC"/>
      <name val="Arial"/>
    </font>
    <font>
      <color rgb="FF1F1F1F"/>
      <name val="&quot;Google Sans&quot;"/>
    </font>
    <font>
      <b/>
      <color theme="1"/>
      <name val="Arial"/>
      <scheme val="minor"/>
    </font>
    <font>
      <color rgb="FF1F1F1F"/>
      <name val="&quot;Google Sans Text&quot;"/>
    </font>
    <font>
      <b/>
      <color rgb="FF1F1F1F"/>
      <name val="&quot;Google Sans Text&quot;"/>
    </font>
    <font>
      <color rgb="FF444746"/>
      <name val="&quot;Google Sans Text&quot;"/>
    </font>
    <font>
      <u/>
      <color rgb="FF444746"/>
      <name val="&quot;Google Sans Text&quot;"/>
    </font>
    <font>
      <b/>
      <color rgb="FFFFFFFF"/>
      <name val="Roboto"/>
    </font>
    <font>
      <u/>
      <color rgb="FF434343"/>
      <name val="Roboto"/>
    </font>
    <font>
      <u/>
      <color rgb="FF434343"/>
      <name val="Roboto"/>
    </font>
    <font>
      <sz val="11.0"/>
      <color theme="1"/>
      <name val="AvenirLTStd65Medium"/>
    </font>
    <font>
      <sz val="11.0"/>
      <color rgb="FF555555"/>
      <name val="AvenirLTStd65Medium"/>
    </font>
    <font>
      <u/>
      <color rgb="FF434343"/>
      <name val="Roboto"/>
    </font>
    <font>
      <u/>
      <color rgb="FF434343"/>
      <name val="Roboto"/>
    </font>
  </fonts>
  <fills count="6">
    <fill>
      <patternFill patternType="none"/>
    </fill>
    <fill>
      <patternFill patternType="lightGray"/>
    </fill>
    <fill>
      <patternFill patternType="solid">
        <fgColor rgb="FFF8F9FA"/>
        <bgColor rgb="FFF8F9FA"/>
      </patternFill>
    </fill>
    <fill>
      <patternFill patternType="solid">
        <fgColor rgb="FFFFFFFF"/>
        <bgColor rgb="FFFFFFFF"/>
      </patternFill>
    </fill>
    <fill>
      <patternFill patternType="solid">
        <fgColor rgb="FF4A86E8"/>
        <bgColor rgb="FF4A86E8"/>
      </patternFill>
    </fill>
    <fill>
      <patternFill patternType="solid">
        <fgColor rgb="FF5B3F86"/>
        <bgColor rgb="FF5B3F86"/>
      </patternFill>
    </fill>
  </fills>
  <borders count="7">
    <border/>
    <border>
      <left style="thin">
        <color rgb="FF000000"/>
      </left>
      <right style="thin">
        <color rgb="FF000000"/>
      </right>
      <top style="thin">
        <color rgb="FF000000"/>
      </top>
      <bottom style="thin">
        <color rgb="FF000000"/>
      </bottom>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right style="thin">
        <color rgb="FF666666"/>
      </right>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readingOrder="0" vertical="bottom"/>
    </xf>
    <xf borderId="0" fillId="0" fontId="2" numFmtId="0" xfId="0" applyAlignment="1" applyFont="1">
      <alignment readingOrder="0"/>
    </xf>
    <xf borderId="0" fillId="0" fontId="2" numFmtId="14" xfId="0" applyAlignment="1" applyFont="1" applyNumberFormat="1">
      <alignment readingOrder="0"/>
    </xf>
    <xf borderId="0" fillId="0" fontId="2" numFmtId="0" xfId="0" applyFont="1"/>
    <xf borderId="0" fillId="0" fontId="2" numFmtId="164" xfId="0" applyAlignment="1" applyFont="1" applyNumberFormat="1">
      <alignment readingOrder="0"/>
    </xf>
    <xf borderId="0" fillId="0" fontId="2" numFmtId="0" xfId="0" applyAlignment="1" applyFont="1">
      <alignment readingOrder="0"/>
    </xf>
    <xf borderId="1" fillId="0" fontId="3" numFmtId="0" xfId="0" applyAlignment="1" applyBorder="1" applyFont="1">
      <alignment vertical="bottom"/>
    </xf>
    <xf borderId="1" fillId="0" fontId="3" numFmtId="0" xfId="0" applyAlignment="1" applyBorder="1" applyFont="1">
      <alignment readingOrder="0" vertical="bottom"/>
    </xf>
    <xf borderId="1" fillId="0" fontId="1" numFmtId="0" xfId="0" applyAlignment="1" applyBorder="1" applyFont="1">
      <alignment vertical="bottom"/>
    </xf>
    <xf borderId="1" fillId="0" fontId="1" numFmtId="165" xfId="0" applyAlignment="1" applyBorder="1" applyFont="1" applyNumberFormat="1">
      <alignment horizontal="right" vertical="bottom"/>
    </xf>
    <xf quotePrefix="1" borderId="1" fillId="0" fontId="1" numFmtId="0" xfId="0" applyAlignment="1" applyBorder="1" applyFont="1">
      <alignment readingOrder="0" vertical="bottom"/>
    </xf>
    <xf borderId="1" fillId="2" fontId="1" numFmtId="0" xfId="0" applyAlignment="1" applyBorder="1" applyFill="1" applyFont="1">
      <alignment vertical="bottom"/>
    </xf>
    <xf borderId="1" fillId="0" fontId="4" numFmtId="0" xfId="0" applyAlignment="1" applyBorder="1" applyFont="1">
      <alignment readingOrder="0" vertical="bottom"/>
    </xf>
    <xf borderId="1" fillId="3" fontId="1" numFmtId="0" xfId="0" applyAlignment="1" applyBorder="1" applyFill="1" applyFont="1">
      <alignment vertical="bottom"/>
    </xf>
    <xf borderId="1" fillId="2" fontId="1" numFmtId="0" xfId="0" applyAlignment="1" applyBorder="1" applyFont="1">
      <alignment readingOrder="0" vertical="bottom"/>
    </xf>
    <xf borderId="0" fillId="0" fontId="5" numFmtId="0" xfId="0" applyAlignment="1" applyFont="1">
      <alignment readingOrder="0"/>
    </xf>
    <xf borderId="1" fillId="0" fontId="2" numFmtId="0" xfId="0" applyBorder="1" applyFont="1"/>
    <xf quotePrefix="1" borderId="0" fillId="0" fontId="2" numFmtId="0" xfId="0" applyAlignment="1" applyFont="1">
      <alignment readingOrder="0"/>
    </xf>
    <xf borderId="0" fillId="0" fontId="1" numFmtId="0" xfId="0" applyAlignment="1" applyFont="1">
      <alignment vertical="bottom"/>
    </xf>
    <xf borderId="1" fillId="0" fontId="1" numFmtId="164" xfId="0" applyAlignment="1" applyBorder="1" applyFont="1" applyNumberFormat="1">
      <alignment vertical="bottom"/>
    </xf>
    <xf borderId="0" fillId="0" fontId="6" numFmtId="0" xfId="0" applyAlignment="1" applyFont="1">
      <alignment readingOrder="0"/>
    </xf>
    <xf borderId="1" fillId="0" fontId="1" numFmtId="165" xfId="0" applyAlignment="1" applyBorder="1" applyFont="1" applyNumberFormat="1">
      <alignment vertical="bottom"/>
    </xf>
    <xf borderId="0" fillId="0" fontId="2" numFmtId="0" xfId="0" applyFont="1"/>
    <xf borderId="1" fillId="4" fontId="7" numFmtId="166" xfId="0" applyAlignment="1" applyBorder="1" applyFill="1" applyFont="1" applyNumberFormat="1">
      <alignment horizontal="right" shrinkToFit="0" vertical="bottom" wrapText="0"/>
    </xf>
    <xf borderId="1" fillId="2" fontId="1" numFmtId="0" xfId="0" applyAlignment="1" applyBorder="1" applyFont="1">
      <alignment vertical="bottom"/>
    </xf>
    <xf borderId="1" fillId="3" fontId="1" numFmtId="0" xfId="0" applyAlignment="1" applyBorder="1" applyFont="1">
      <alignment vertical="bottom"/>
    </xf>
    <xf borderId="1" fillId="3" fontId="7" numFmtId="0" xfId="0" applyAlignment="1" applyBorder="1" applyFont="1">
      <alignment shrinkToFit="0" vertical="bottom" wrapText="0"/>
    </xf>
    <xf borderId="1" fillId="3" fontId="1" numFmtId="166" xfId="0" applyAlignment="1" applyBorder="1" applyFont="1" applyNumberFormat="1">
      <alignment horizontal="right" vertical="bottom"/>
    </xf>
    <xf borderId="1" fillId="3" fontId="7" numFmtId="0" xfId="0" applyAlignment="1" applyBorder="1" applyFont="1">
      <alignment shrinkToFit="0" vertical="bottom" wrapText="0"/>
    </xf>
    <xf borderId="1" fillId="3" fontId="1" numFmtId="0" xfId="0" applyAlignment="1" applyBorder="1" applyFont="1">
      <alignment vertical="bottom"/>
    </xf>
    <xf borderId="1" fillId="3" fontId="1" numFmtId="0" xfId="0" applyAlignment="1" applyBorder="1" applyFont="1">
      <alignment readingOrder="0" vertical="bottom"/>
    </xf>
    <xf borderId="1" fillId="3" fontId="8" numFmtId="0" xfId="0" applyAlignment="1" applyBorder="1" applyFont="1">
      <alignment readingOrder="0" vertical="bottom"/>
    </xf>
    <xf borderId="1" fillId="2" fontId="1" numFmtId="14" xfId="0" applyAlignment="1" applyBorder="1" applyFont="1" applyNumberFormat="1">
      <alignment horizontal="right" vertical="bottom"/>
    </xf>
    <xf borderId="1" fillId="0" fontId="1" numFmtId="166" xfId="0" applyAlignment="1" applyBorder="1" applyFont="1" applyNumberFormat="1">
      <alignment horizontal="right" vertical="bottom"/>
    </xf>
    <xf borderId="1" fillId="0" fontId="1" numFmtId="14" xfId="0" applyAlignment="1" applyBorder="1" applyFont="1" applyNumberFormat="1">
      <alignment horizontal="right" vertical="bottom"/>
    </xf>
    <xf borderId="1" fillId="0" fontId="1" numFmtId="166" xfId="0" applyAlignment="1" applyBorder="1" applyFont="1" applyNumberFormat="1">
      <alignment vertical="bottom"/>
    </xf>
    <xf borderId="0" fillId="0" fontId="2" numFmtId="167" xfId="0" applyAlignment="1" applyFont="1" applyNumberFormat="1">
      <alignment readingOrder="0"/>
    </xf>
    <xf borderId="0" fillId="0" fontId="2" numFmtId="168" xfId="0" applyAlignment="1" applyFont="1" applyNumberFormat="1">
      <alignment readingOrder="0"/>
    </xf>
    <xf borderId="0" fillId="3" fontId="9" numFmtId="0" xfId="0" applyAlignment="1" applyFont="1">
      <alignment horizontal="left" readingOrder="0"/>
    </xf>
    <xf borderId="0" fillId="0" fontId="2" numFmtId="168" xfId="0" applyFont="1" applyNumberFormat="1"/>
    <xf borderId="0" fillId="0" fontId="10" numFmtId="0" xfId="0" applyAlignment="1" applyFont="1">
      <alignment horizontal="center"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2" fillId="5" fontId="15" numFmtId="0" xfId="0" applyAlignment="1" applyBorder="1" applyFill="1" applyFont="1">
      <alignment shrinkToFit="0" wrapText="0"/>
    </xf>
    <xf borderId="0" fillId="5" fontId="15" numFmtId="0" xfId="0" applyAlignment="1" applyFont="1">
      <alignment shrinkToFit="0" wrapText="0"/>
    </xf>
    <xf borderId="3" fillId="3" fontId="7" numFmtId="0" xfId="0" applyAlignment="1" applyBorder="1" applyFont="1">
      <alignment shrinkToFit="0" wrapText="0"/>
    </xf>
    <xf borderId="0" fillId="3" fontId="7" numFmtId="0" xfId="0" applyAlignment="1" applyFont="1">
      <alignment shrinkToFit="0" wrapText="0"/>
    </xf>
    <xf borderId="4" fillId="2" fontId="7" numFmtId="0" xfId="0" applyAlignment="1" applyBorder="1" applyFont="1">
      <alignment shrinkToFit="0" wrapText="0"/>
    </xf>
    <xf borderId="0" fillId="2" fontId="7" numFmtId="0" xfId="0" applyAlignment="1" applyFont="1">
      <alignment shrinkToFit="0" wrapText="0"/>
    </xf>
    <xf borderId="0" fillId="0" fontId="2" numFmtId="0" xfId="0" applyAlignment="1" applyFont="1">
      <alignment readingOrder="0"/>
    </xf>
    <xf borderId="3" fillId="3" fontId="16" numFmtId="0" xfId="0" applyAlignment="1" applyBorder="1" applyFont="1">
      <alignment shrinkToFit="0" wrapText="0"/>
    </xf>
    <xf borderId="0" fillId="3" fontId="17" numFmtId="0" xfId="0" applyAlignment="1" applyFont="1">
      <alignment shrinkToFit="0" wrapText="0"/>
    </xf>
    <xf borderId="5" fillId="0" fontId="18" numFmtId="0" xfId="0" applyAlignment="1" applyBorder="1" applyFont="1">
      <alignment horizontal="center" readingOrder="0"/>
    </xf>
    <xf borderId="5" fillId="3" fontId="19" numFmtId="0" xfId="0" applyAlignment="1" applyBorder="1" applyFont="1">
      <alignment horizontal="center" readingOrder="0" vertical="top"/>
    </xf>
    <xf borderId="4" fillId="2" fontId="20" numFmtId="0" xfId="0" applyAlignment="1" applyBorder="1" applyFont="1">
      <alignment shrinkToFit="0" wrapText="0"/>
    </xf>
    <xf borderId="0" fillId="2" fontId="21" numFmtId="0" xfId="0" applyAlignment="1" applyFont="1">
      <alignment shrinkToFit="0" wrapText="0"/>
    </xf>
    <xf borderId="3" fillId="3" fontId="1" numFmtId="0" xfId="0" applyBorder="1" applyFont="1"/>
    <xf borderId="0" fillId="3" fontId="1" numFmtId="0" xfId="0" applyFont="1"/>
    <xf borderId="4" fillId="2" fontId="1" numFmtId="0" xfId="0" applyBorder="1" applyFont="1"/>
    <xf borderId="0" fillId="2" fontId="1" numFmtId="0" xfId="0" applyFont="1"/>
    <xf borderId="6" fillId="3" fontId="1" numFmtId="0" xfId="0" applyBorder="1" applyFont="1"/>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2">
    <tableStyle count="2" pivot="0" name="Database-style">
      <tableStyleElement dxfId="1" type="firstRowStripe"/>
      <tableStyleElement dxfId="2" type="secondRowStripe"/>
    </tableStyle>
    <tableStyle count="2" pivot="0" name="Database-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3:O3"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atabase-style" showColumnStripes="0" showFirstColumn="1" showLastColumn="1" showRowStripes="1"/>
</table>
</file>

<file path=xl/tables/table2.xml><?xml version="1.0" encoding="utf-8"?>
<table xmlns="http://schemas.openxmlformats.org/spreadsheetml/2006/main" headerRowCount="0" ref="B83:AE83" displayName="Table_2" name="Table_2" id="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Databas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in/ricohalim/" TargetMode="External"/><Relationship Id="rId42" Type="http://schemas.openxmlformats.org/officeDocument/2006/relationships/hyperlink" Target="https://drive.google.com/open?id=11VPG7DiWYxLbmvXJtsyE8SS2HvJXyF9T" TargetMode="External"/><Relationship Id="rId86" Type="http://schemas.openxmlformats.org/officeDocument/2006/relationships/table" Target="../tables/table2.xml"/><Relationship Id="rId41" Type="http://schemas.openxmlformats.org/officeDocument/2006/relationships/hyperlink" Target="https://drive.google.com/open?id=1ITPzsfnnTJdlr0sxbCyBEXSXh6ec9aTT" TargetMode="External"/><Relationship Id="rId85" Type="http://schemas.openxmlformats.org/officeDocument/2006/relationships/table" Target="../tables/table1.xml"/><Relationship Id="rId44" Type="http://schemas.openxmlformats.org/officeDocument/2006/relationships/hyperlink" Target="https://drive.google.com/open?id=162HEcaM0mOkJC1R9vC1g_1bnabLzDN3v" TargetMode="External"/><Relationship Id="rId43" Type="http://schemas.openxmlformats.org/officeDocument/2006/relationships/hyperlink" Target="https://drive.google.com/file/d/1Nm4bQzuiOPDNeO15r_PjOYYYU2rHMJBX/view?usp=drivesdk" TargetMode="External"/><Relationship Id="rId46" Type="http://schemas.openxmlformats.org/officeDocument/2006/relationships/hyperlink" Target="https://drive.google.com/open?id=1wK3GUbC1oFMFiePIYUvrP71_tOhysYYN" TargetMode="External"/><Relationship Id="rId45" Type="http://schemas.openxmlformats.org/officeDocument/2006/relationships/hyperlink" Target="https://drive.google.com/open?id=1p8kTKdDB88UJGUeb6t7U-mk2KDlalVaP" TargetMode="External"/><Relationship Id="rId80" Type="http://schemas.openxmlformats.org/officeDocument/2006/relationships/hyperlink" Target="http://linkedin.com/in/galihakbarisra" TargetMode="External"/><Relationship Id="rId82" Type="http://schemas.openxmlformats.org/officeDocument/2006/relationships/vmlDrawing" Target="../drawings/vmlDrawing1.vml"/><Relationship Id="rId81" Type="http://schemas.openxmlformats.org/officeDocument/2006/relationships/drawing" Target="../drawings/drawing2.xml"/><Relationship Id="rId1" Type="http://schemas.openxmlformats.org/officeDocument/2006/relationships/comments" Target="../comments1.xml"/><Relationship Id="rId2" Type="http://schemas.openxmlformats.org/officeDocument/2006/relationships/hyperlink" Target="https://drive.google.com/file/d/1N9Bc4A9fu-dGoJXVf5LIR2gqW5eR1E_v/view?usp=drivesdk" TargetMode="External"/><Relationship Id="rId3" Type="http://schemas.openxmlformats.org/officeDocument/2006/relationships/hyperlink" Target="https://drive.google.com/open?id=1dZLLXnEqh1bvBprkkDfByp6VTdqn0zRG" TargetMode="External"/><Relationship Id="rId4" Type="http://schemas.openxmlformats.org/officeDocument/2006/relationships/hyperlink" Target="https://www.linkedin.com/in/akbar-hidayatullah-926307a0?utm_source=share&amp;utm_campaign=share_via&amp;utm_content=profile&amp;utm_medium=android_app" TargetMode="External"/><Relationship Id="rId9" Type="http://schemas.openxmlformats.org/officeDocument/2006/relationships/hyperlink" Target="https://drive.google.com/open?id=1jyXayGvxEtA0vKip7ooJbDRBfZcSj9CE" TargetMode="External"/><Relationship Id="rId48" Type="http://schemas.openxmlformats.org/officeDocument/2006/relationships/hyperlink" Target="https://drive.google.com/open?id=173SSe0h-A0sJvma11uJqcYFO9GurwlKk" TargetMode="External"/><Relationship Id="rId47" Type="http://schemas.openxmlformats.org/officeDocument/2006/relationships/hyperlink" Target="https://drive.google.com/file/d/1JkzY29Ay90JgdxlfxMWkfw4HVms3NktN/view?usp=drivesdk" TargetMode="External"/><Relationship Id="rId49" Type="http://schemas.openxmlformats.org/officeDocument/2006/relationships/hyperlink" Target="https://drive.google.com/open?id=1S_1UpxDwPUmyN25tP0iEMn3ObYaqi5be" TargetMode="External"/><Relationship Id="rId5" Type="http://schemas.openxmlformats.org/officeDocument/2006/relationships/hyperlink" Target="https://drive.google.com/open?id=18YkV4XqMuh3BHoCdIGzb0pWVeVE9wMGl" TargetMode="External"/><Relationship Id="rId6" Type="http://schemas.openxmlformats.org/officeDocument/2006/relationships/hyperlink" Target="https://drive.google.com/open?id=1owUHoELFCvxo6tpP0WKM2G6U9ON9ywES" TargetMode="External"/><Relationship Id="rId7" Type="http://schemas.openxmlformats.org/officeDocument/2006/relationships/hyperlink" Target="https://drive.google.com/open?id=1SyqgjYPKGOI33_ntdaxfSIL9YZUqqUUV" TargetMode="External"/><Relationship Id="rId8" Type="http://schemas.openxmlformats.org/officeDocument/2006/relationships/hyperlink" Target="https://drive.google.com/open?id=1UnoMc0RoeaTRuOzdL9TjzO-BMJgEHexF" TargetMode="External"/><Relationship Id="rId73" Type="http://schemas.openxmlformats.org/officeDocument/2006/relationships/hyperlink" Target="https://drive.google.com/open?id=1nAYgExEZSOZxZr2waObXHZ8njpQC2Zry" TargetMode="External"/><Relationship Id="rId72" Type="http://schemas.openxmlformats.org/officeDocument/2006/relationships/hyperlink" Target="https://drive.google.com/open?id=1yB4vIj9U7441LTBiv_qJ2OS_j79wX_CI" TargetMode="External"/><Relationship Id="rId31" Type="http://schemas.openxmlformats.org/officeDocument/2006/relationships/hyperlink" Target="https://drive.google.com/open?id=17TbrGNPS4PsdMFI9EYyZhLsDaQ9MX3zX" TargetMode="External"/><Relationship Id="rId75" Type="http://schemas.openxmlformats.org/officeDocument/2006/relationships/hyperlink" Target="https://drive.google.com/open?id=1iT0NfaLZJ3ywQt0gviWIJ4t-gfha00zj" TargetMode="External"/><Relationship Id="rId30" Type="http://schemas.openxmlformats.org/officeDocument/2006/relationships/hyperlink" Target="https://drive.google.com/open?id=1J35rD2hwuXLvuUd9odBiSMmtSDRHJvHZ" TargetMode="External"/><Relationship Id="rId74" Type="http://schemas.openxmlformats.org/officeDocument/2006/relationships/hyperlink" Target="https://drive.google.com/open?id=1-vncNTgnQBU3eU48FCENxGZubP82l_gF" TargetMode="External"/><Relationship Id="rId33" Type="http://schemas.openxmlformats.org/officeDocument/2006/relationships/hyperlink" Target="https://drive.google.com/open?id=19_oyIC75DRXnB5wCXBEXldXyeWoYJjy0" TargetMode="External"/><Relationship Id="rId77" Type="http://schemas.openxmlformats.org/officeDocument/2006/relationships/hyperlink" Target="https://drive.google.com/open?id=1i4PIby1GV6vyWPTaAABerxcqmqdi9SgZ" TargetMode="External"/><Relationship Id="rId32" Type="http://schemas.openxmlformats.org/officeDocument/2006/relationships/hyperlink" Target="https://drive.google.com/file/d/1-FDdPQCnFAYOhJX2KqC6cYcUOxZwvzRD/view?usp=drivesdk" TargetMode="External"/><Relationship Id="rId76" Type="http://schemas.openxmlformats.org/officeDocument/2006/relationships/hyperlink" Target="https://drive.google.com/open?id=1ssB311OS-PYbfuQbdFIrTBT50WHfWOkE" TargetMode="External"/><Relationship Id="rId35" Type="http://schemas.openxmlformats.org/officeDocument/2006/relationships/hyperlink" Target="https://drive.google.com/open?id=1h8L2hMJfsjrLbya2H3a1Rb0QFZ22YI1u" TargetMode="External"/><Relationship Id="rId79" Type="http://schemas.openxmlformats.org/officeDocument/2006/relationships/hyperlink" Target="https://drive.google.com/file/d/1zVBOlgyUtAKe-q2OsRXc7BsCuk7MDRQc/view?usp=drivesdk" TargetMode="External"/><Relationship Id="rId34" Type="http://schemas.openxmlformats.org/officeDocument/2006/relationships/hyperlink" Target="https://drive.google.com/open?id=1QaAUYJapy1sVfPL-A55D8blTBnLkZo8P" TargetMode="External"/><Relationship Id="rId78" Type="http://schemas.openxmlformats.org/officeDocument/2006/relationships/hyperlink" Target="https://www.linkedin.com/in/edwin-budi-setiawan?utm_source=share&amp;utm_campaign=share_via&amp;utm_content=profile&amp;utm_medium=ios_app" TargetMode="External"/><Relationship Id="rId71" Type="http://schemas.openxmlformats.org/officeDocument/2006/relationships/hyperlink" Target="https://drive.google.com/open?id=1VfdBEC1LakgloNunnB85uXI24oIpgt4K" TargetMode="External"/><Relationship Id="rId70" Type="http://schemas.openxmlformats.org/officeDocument/2006/relationships/hyperlink" Target="https://drive.google.com/open?id=1ess-d8GopMkvsZXwHP5vtd_WrTSWJhxw" TargetMode="External"/><Relationship Id="rId37" Type="http://schemas.openxmlformats.org/officeDocument/2006/relationships/hyperlink" Target="https://drive.google.com/open?id=190zi2YIW7GxUB5zmCopJnMZRkPWHEzNv" TargetMode="External"/><Relationship Id="rId36" Type="http://schemas.openxmlformats.org/officeDocument/2006/relationships/hyperlink" Target="https://drive.google.com/open?id=1jpOPghzMWRoumgKehyNWYB-ubikpvZCr" TargetMode="External"/><Relationship Id="rId39" Type="http://schemas.openxmlformats.org/officeDocument/2006/relationships/hyperlink" Target="https://drive.google.com/file/d/1DbgpRZP_0uL4_YqzSZ8HBr-oUlu9r_6D/view?usp=drivesdk" TargetMode="External"/><Relationship Id="rId38" Type="http://schemas.openxmlformats.org/officeDocument/2006/relationships/hyperlink" Target="https://drive.google.com/open?id=1so__bqo6cVN9YuHKagCbntvQGMAJC70X" TargetMode="External"/><Relationship Id="rId62" Type="http://schemas.openxmlformats.org/officeDocument/2006/relationships/hyperlink" Target="https://drive.google.com/open?id=1KaOaw-YSnlXdjMABydTKFlqL7PW0Q7Jh" TargetMode="External"/><Relationship Id="rId61" Type="http://schemas.openxmlformats.org/officeDocument/2006/relationships/hyperlink" Target="https://drive.google.com/open?id=1fA-YfU58crqklSL36dHUN4IHSDNtewk7" TargetMode="External"/><Relationship Id="rId20" Type="http://schemas.openxmlformats.org/officeDocument/2006/relationships/hyperlink" Target="https://drive.google.com/open?id=1UIexVBPr4seYDJh4dzSeECNwuBe1HZ3X" TargetMode="External"/><Relationship Id="rId64" Type="http://schemas.openxmlformats.org/officeDocument/2006/relationships/hyperlink" Target="https://drive.google.com/open?id=1ouhanVc0W9q-YXUwFYv_Ay3wJojS5yiT" TargetMode="External"/><Relationship Id="rId63" Type="http://schemas.openxmlformats.org/officeDocument/2006/relationships/hyperlink" Target="https://drive.google.com/open?id=1tkmappvtBWkJhmE9Q48g5oPB5X6ekZ4l" TargetMode="External"/><Relationship Id="rId22" Type="http://schemas.openxmlformats.org/officeDocument/2006/relationships/hyperlink" Target="https://drive.google.com/open?id=1c2WL_PljoOhZTOeycmfKAuflpd8_zxEt" TargetMode="External"/><Relationship Id="rId66" Type="http://schemas.openxmlformats.org/officeDocument/2006/relationships/hyperlink" Target="https://drive.google.com/open?id=10-SEAhS8zebjgrsv6u8sX3IIG_d_btiq" TargetMode="External"/><Relationship Id="rId21" Type="http://schemas.openxmlformats.org/officeDocument/2006/relationships/hyperlink" Target="https://drive.google.com/open?id=19gnLGoIgRchUheLlYobOkbJW0UQkwIwQ" TargetMode="External"/><Relationship Id="rId65" Type="http://schemas.openxmlformats.org/officeDocument/2006/relationships/hyperlink" Target="https://drive.google.com/open?id=1YIbNHOhkhQ1EC1TyZ9VE5KErzSCFDwDx" TargetMode="External"/><Relationship Id="rId24" Type="http://schemas.openxmlformats.org/officeDocument/2006/relationships/hyperlink" Target="https://drive.google.com/open?id=1BGvxMK--L8hYfZ8OnhWQQarfwA16HH0f" TargetMode="External"/><Relationship Id="rId68" Type="http://schemas.openxmlformats.org/officeDocument/2006/relationships/hyperlink" Target="https://drive.google.com/open?id=1x_iDrk7eSedI0ksf4XqJzviCs0NbL-5A" TargetMode="External"/><Relationship Id="rId23" Type="http://schemas.openxmlformats.org/officeDocument/2006/relationships/hyperlink" Target="https://drive.google.com/open?id=1IJbfMnb1IfBKtdOUXm8T5gKJZZZa-icm" TargetMode="External"/><Relationship Id="rId67" Type="http://schemas.openxmlformats.org/officeDocument/2006/relationships/hyperlink" Target="https://drive.google.com/open?id=10cY0VS7lNn9u-1kVdMyjZRt0oTxeRVZ7" TargetMode="External"/><Relationship Id="rId60" Type="http://schemas.openxmlformats.org/officeDocument/2006/relationships/hyperlink" Target="https://drive.google.com/open?id=1TgfA5juiLBZHsSr2g-Bc-cb4yYxSPHLd" TargetMode="External"/><Relationship Id="rId26" Type="http://schemas.openxmlformats.org/officeDocument/2006/relationships/hyperlink" Target="https://drive.google.com/open?id=16jdWbfRCCjJDI5heJhc9oPvwhU9xN7vM" TargetMode="External"/><Relationship Id="rId25" Type="http://schemas.openxmlformats.org/officeDocument/2006/relationships/hyperlink" Target="https://drive.google.com/open?id=1c7YCvR6j6E1fH6c4RXKHpqk5AhGWylWi" TargetMode="External"/><Relationship Id="rId69" Type="http://schemas.openxmlformats.org/officeDocument/2006/relationships/hyperlink" Target="https://drive.google.com/open?id=1IPsJ48_0s2pZHm1FmzD93ghevJPiZsrH" TargetMode="External"/><Relationship Id="rId28" Type="http://schemas.openxmlformats.org/officeDocument/2006/relationships/hyperlink" Target="https://drive.google.com/open?id=1RHjjAMcOMflzpwaucX1ttgcug_HNb5_z" TargetMode="External"/><Relationship Id="rId27" Type="http://schemas.openxmlformats.org/officeDocument/2006/relationships/hyperlink" Target="https://drive.google.com/open?id=1Iudu6kfE3lR_VoRE8ZPam_kTrC3Sl5Tq" TargetMode="External"/><Relationship Id="rId29" Type="http://schemas.openxmlformats.org/officeDocument/2006/relationships/hyperlink" Target="https://drive.google.com/open?id=1X-tEB_zvK7eOZLrbf3gYwu1UjJutcJAV" TargetMode="External"/><Relationship Id="rId51" Type="http://schemas.openxmlformats.org/officeDocument/2006/relationships/hyperlink" Target="https://drive.google.com/open?id=1u2ig8Xma6-kcHxh-KMNR1DmRvWUC2hYz" TargetMode="External"/><Relationship Id="rId50" Type="http://schemas.openxmlformats.org/officeDocument/2006/relationships/hyperlink" Target="https://drive.google.com/open?id=1yANSGMdPO91WKPf4UIi-SLtnNeeR6fxK" TargetMode="External"/><Relationship Id="rId53" Type="http://schemas.openxmlformats.org/officeDocument/2006/relationships/hyperlink" Target="https://drive.google.com/open?id=1SGHdaRIhlykDnJ24bmaAz9W8vdFj8WrR" TargetMode="External"/><Relationship Id="rId52" Type="http://schemas.openxmlformats.org/officeDocument/2006/relationships/hyperlink" Target="https://drive.google.com/open?id=1HQ2UkfLrhSpXjcUr0FXpInmtamkOYJEr" TargetMode="External"/><Relationship Id="rId11" Type="http://schemas.openxmlformats.org/officeDocument/2006/relationships/hyperlink" Target="https://drive.google.com/open?id=1AY4BtwQrHuDoyUH7iE1e3rQj_xCUj9hj" TargetMode="External"/><Relationship Id="rId55" Type="http://schemas.openxmlformats.org/officeDocument/2006/relationships/hyperlink" Target="https://drive.google.com/open?id=1Kpk2D388wW8_sG5MYahU2QaUWoP036Wm" TargetMode="External"/><Relationship Id="rId10" Type="http://schemas.openxmlformats.org/officeDocument/2006/relationships/hyperlink" Target="https://drive.google.com/open?id=1C2c3r1oBScuK8dK0AIsCP-Iyy1f5PGlO" TargetMode="External"/><Relationship Id="rId54" Type="http://schemas.openxmlformats.org/officeDocument/2006/relationships/hyperlink" Target="https://drive.google.com/open?id=1rOlt7QGwcTH88eGsvwMtKQ8pM_oUSkGy" TargetMode="External"/><Relationship Id="rId13" Type="http://schemas.openxmlformats.org/officeDocument/2006/relationships/hyperlink" Target="https://drive.google.com/open?id=1WLCrou2ykBlWIpVVKZ0chh9px9s6EYFC" TargetMode="External"/><Relationship Id="rId57" Type="http://schemas.openxmlformats.org/officeDocument/2006/relationships/hyperlink" Target="https://drive.google.com/open?id=1YLsRqt8bcUmny_FZOatF-sIWAAksNcG6" TargetMode="External"/><Relationship Id="rId12" Type="http://schemas.openxmlformats.org/officeDocument/2006/relationships/hyperlink" Target="https://drive.google.com/open?id=12qS9yRfEvTGnMBciqxtMn5ztACQ0uWpU" TargetMode="External"/><Relationship Id="rId56" Type="http://schemas.openxmlformats.org/officeDocument/2006/relationships/hyperlink" Target="https://drive.google.com/open?id=1xitA0iIypFevs35I7yr1Zg_JE7kGhvPW" TargetMode="External"/><Relationship Id="rId15" Type="http://schemas.openxmlformats.org/officeDocument/2006/relationships/hyperlink" Target="https://drive.google.com/file/d/1-s30EMjp_mlzrDWAzVug1IW32CamjLGZ/view?usp=drivesdk" TargetMode="External"/><Relationship Id="rId59" Type="http://schemas.openxmlformats.org/officeDocument/2006/relationships/hyperlink" Target="https://drive.google.com/open?id=1x-ySyy5MY80nW6z0tNanNOB5BGuz1UmQ" TargetMode="External"/><Relationship Id="rId14" Type="http://schemas.openxmlformats.org/officeDocument/2006/relationships/hyperlink" Target="https://drive.google.com/open?id=1_B8Szrryj4v2gosmG81cqsVjW95vEFyM" TargetMode="External"/><Relationship Id="rId58" Type="http://schemas.openxmlformats.org/officeDocument/2006/relationships/hyperlink" Target="https://drive.google.com/open?id=1hJAMFSdRnjJAZhGCdQCpqptZ-Xc2dKb3" TargetMode="External"/><Relationship Id="rId17" Type="http://schemas.openxmlformats.org/officeDocument/2006/relationships/hyperlink" Target="https://drive.google.com/open?id=16DNpFTZVMsuzW4mJdpZcXkNDRPEw81QV" TargetMode="External"/><Relationship Id="rId16" Type="http://schemas.openxmlformats.org/officeDocument/2006/relationships/hyperlink" Target="https://drive.google.com/open?id=1sWuKnUEnUtClk3zP06OYMsfSf34PV6Z9" TargetMode="External"/><Relationship Id="rId19" Type="http://schemas.openxmlformats.org/officeDocument/2006/relationships/hyperlink" Target="https://drive.google.com/open?id=1n5DJkjSBeOJIocVncNJoZDTqvsA4_yne" TargetMode="External"/><Relationship Id="rId18" Type="http://schemas.openxmlformats.org/officeDocument/2006/relationships/hyperlink" Target="https://drive.google.com/open?id=18s-qjy_Z49fkw7qPNTGcsw7ZyewHF5d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bbEjPePIqr7Wjazm0exVx3lZ5FgSzD70/view?usp=drivesd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cript.google.com/macros/s/AKfycbwFqxi5wvtTKNv37COGQWtr0WUrjmMICkMM5j1218s7Lk3FeU7HTCPR6Is1rL3cdcNA/exec"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rambee.co" TargetMode="External"/><Relationship Id="rId3" Type="http://schemas.openxmlformats.org/officeDocument/2006/relationships/hyperlink" Target="http://pugnator.id" TargetMode="External"/><Relationship Id="rId4" Type="http://schemas.openxmlformats.org/officeDocument/2006/relationships/hyperlink" Target="http://blibli.com" TargetMode="External"/><Relationship Id="rId5" Type="http://schemas.openxmlformats.org/officeDocument/2006/relationships/hyperlink" Target="http://blibli.com" TargetMode="External"/><Relationship Id="rId6" Type="http://schemas.openxmlformats.org/officeDocument/2006/relationships/drawing" Target="../drawings/drawing10.xml"/><Relationship Id="rId7"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0"/>
    <col customWidth="1" min="3" max="3" width="6.5"/>
    <col customWidth="1" min="4" max="4" width="9.0"/>
  </cols>
  <sheetData>
    <row r="1">
      <c r="A1" s="1" t="s">
        <v>0</v>
      </c>
      <c r="B1" s="1" t="s">
        <v>1</v>
      </c>
      <c r="C1" s="2" t="s">
        <v>2</v>
      </c>
      <c r="D1" s="3" t="s">
        <v>3</v>
      </c>
      <c r="E1" s="3" t="s">
        <v>4</v>
      </c>
      <c r="F1" s="3" t="s">
        <v>5</v>
      </c>
    </row>
    <row r="2">
      <c r="A2" s="3" t="s">
        <v>6</v>
      </c>
      <c r="B2" s="3" t="s">
        <v>7</v>
      </c>
      <c r="C2" s="3">
        <v>111111.0</v>
      </c>
      <c r="D2" s="3" t="s">
        <v>8</v>
      </c>
      <c r="E2" s="3" t="s">
        <v>9</v>
      </c>
      <c r="F2" s="3" t="s">
        <v>10</v>
      </c>
      <c r="H2" s="4"/>
    </row>
    <row r="3">
      <c r="A3" s="5" t="str">
        <f>IFERROR(__xludf.DUMMYFUNCTION("QUERY(Database!A3:G2003,""Select A,G"",)"),"DBP01000001")</f>
        <v>DBP01000001</v>
      </c>
      <c r="B3" s="5" t="str">
        <f>IFERROR(__xludf.DUMMYFUNCTION("""COMPUTED_VALUE"""),"akbar.lawyer85@gmail.com")</f>
        <v>akbar.lawyer85@gmail.com</v>
      </c>
      <c r="C3" s="3">
        <v>260185.0</v>
      </c>
      <c r="D3" s="3" t="s">
        <v>11</v>
      </c>
      <c r="E3" s="3" t="s">
        <v>9</v>
      </c>
      <c r="F3" s="3" t="s">
        <v>10</v>
      </c>
      <c r="H3" s="4"/>
    </row>
    <row r="4">
      <c r="A4" s="5" t="str">
        <f>IFERROR(__xludf.DUMMYFUNCTION("""COMPUTED_VALUE"""),"DBP01000002")</f>
        <v>DBP01000002</v>
      </c>
      <c r="B4" s="5" t="str">
        <f>IFERROR(__xludf.DUMMYFUNCTION("""COMPUTED_VALUE"""),"avgoenadi@gmail.com")</f>
        <v>avgoenadi@gmail.com</v>
      </c>
      <c r="C4" s="3">
        <v>112233.0</v>
      </c>
      <c r="D4" s="3" t="s">
        <v>11</v>
      </c>
      <c r="E4" s="3" t="s">
        <v>9</v>
      </c>
      <c r="F4" s="3" t="s">
        <v>10</v>
      </c>
    </row>
    <row r="5">
      <c r="A5" s="5" t="str">
        <f>IFERROR(__xludf.DUMMYFUNCTION("""COMPUTED_VALUE"""),"DBP01000003")</f>
        <v>DBP01000003</v>
      </c>
      <c r="B5" s="5" t="str">
        <f>IFERROR(__xludf.DUMMYFUNCTION("""COMPUTED_VALUE"""),"gema.kusumaputri@gmail.com")</f>
        <v>gema.kusumaputri@gmail.com</v>
      </c>
      <c r="C5" s="3">
        <v>123123.0</v>
      </c>
      <c r="D5" s="3" t="s">
        <v>8</v>
      </c>
      <c r="E5" s="3" t="s">
        <v>9</v>
      </c>
      <c r="F5" s="3" t="s">
        <v>10</v>
      </c>
    </row>
    <row r="6">
      <c r="A6" s="5" t="str">
        <f>IFERROR(__xludf.DUMMYFUNCTION("""COMPUTED_VALUE"""),"DBP01000004")</f>
        <v>DBP01000004</v>
      </c>
      <c r="B6" s="5" t="str">
        <f>IFERROR(__xludf.DUMMYFUNCTION("""COMPUTED_VALUE"""),"putuagnia@gmail.com")</f>
        <v>putuagnia@gmail.com</v>
      </c>
      <c r="C6" s="3">
        <v>123123.0</v>
      </c>
      <c r="D6" s="3" t="s">
        <v>8</v>
      </c>
      <c r="E6" s="3" t="s">
        <v>9</v>
      </c>
      <c r="F6" s="3" t="s">
        <v>10</v>
      </c>
      <c r="H6" s="4"/>
    </row>
    <row r="7">
      <c r="A7" s="5" t="str">
        <f>IFERROR(__xludf.DUMMYFUNCTION("""COMPUTED_VALUE"""),"DBP01000005")</f>
        <v>DBP01000005</v>
      </c>
      <c r="B7" s="5" t="str">
        <f>IFERROR(__xludf.DUMMYFUNCTION("""COMPUTED_VALUE"""),"dante.darmawangsa@upi.edu")</f>
        <v>dante.darmawangsa@upi.edu</v>
      </c>
      <c r="C7" s="3">
        <v>123123.0</v>
      </c>
      <c r="D7" s="3" t="s">
        <v>8</v>
      </c>
      <c r="E7" s="3" t="s">
        <v>9</v>
      </c>
      <c r="F7" s="3" t="s">
        <v>10</v>
      </c>
    </row>
    <row r="8">
      <c r="A8" s="5" t="str">
        <f>IFERROR(__xludf.DUMMYFUNCTION("""COMPUTED_VALUE"""),"DBP01000006")</f>
        <v>DBP01000006</v>
      </c>
      <c r="B8" s="5" t="str">
        <f>IFERROR(__xludf.DUMMYFUNCTION("""COMPUTED_VALUE"""),"ratri.mustikaning.h@gmail.com")</f>
        <v>ratri.mustikaning.h@gmail.com</v>
      </c>
      <c r="C8" s="3">
        <v>123123.0</v>
      </c>
      <c r="D8" s="3" t="s">
        <v>8</v>
      </c>
      <c r="E8" s="3" t="s">
        <v>9</v>
      </c>
      <c r="F8" s="3" t="s">
        <v>10</v>
      </c>
    </row>
    <row r="9">
      <c r="A9" s="5" t="str">
        <f>IFERROR(__xludf.DUMMYFUNCTION("""COMPUTED_VALUE"""),"DBP01000007")</f>
        <v>DBP01000007</v>
      </c>
      <c r="B9" s="5" t="str">
        <f>IFERROR(__xludf.DUMMYFUNCTION("""COMPUTED_VALUE"""),"puti.kemala.tanjung@gmail.com")</f>
        <v>puti.kemala.tanjung@gmail.com</v>
      </c>
      <c r="C9" s="3">
        <v>123123.0</v>
      </c>
      <c r="D9" s="3" t="s">
        <v>8</v>
      </c>
      <c r="E9" s="3" t="s">
        <v>9</v>
      </c>
      <c r="F9" s="3" t="s">
        <v>10</v>
      </c>
    </row>
    <row r="10">
      <c r="A10" s="5" t="str">
        <f>IFERROR(__xludf.DUMMYFUNCTION("""COMPUTED_VALUE"""),"DBP01000008")</f>
        <v>DBP01000008</v>
      </c>
      <c r="B10" s="5" t="str">
        <f>IFERROR(__xludf.DUMMYFUNCTION("""COMPUTED_VALUE"""),"roroajengtaufik@gmail.com")</f>
        <v>roroajengtaufik@gmail.com</v>
      </c>
      <c r="C10" s="3">
        <v>123123.0</v>
      </c>
      <c r="D10" s="3" t="s">
        <v>8</v>
      </c>
      <c r="E10" s="3" t="s">
        <v>9</v>
      </c>
      <c r="F10" s="3" t="s">
        <v>10</v>
      </c>
    </row>
    <row r="11">
      <c r="A11" s="5" t="str">
        <f>IFERROR(__xludf.DUMMYFUNCTION("""COMPUTED_VALUE"""),"DBP01000009")</f>
        <v>DBP01000009</v>
      </c>
      <c r="B11" s="5" t="str">
        <f>IFERROR(__xludf.DUMMYFUNCTION("""COMPUTED_VALUE"""),"wayqodratulloh@gmail.com")</f>
        <v>wayqodratulloh@gmail.com</v>
      </c>
      <c r="C11" s="3">
        <v>123123.0</v>
      </c>
      <c r="D11" s="3" t="s">
        <v>8</v>
      </c>
      <c r="E11" s="3" t="s">
        <v>9</v>
      </c>
      <c r="F11" s="3" t="s">
        <v>10</v>
      </c>
    </row>
    <row r="12">
      <c r="A12" s="5" t="str">
        <f>IFERROR(__xludf.DUMMYFUNCTION("""COMPUTED_VALUE"""),"DBP01000010")</f>
        <v>DBP01000010</v>
      </c>
      <c r="B12" s="5" t="str">
        <f>IFERROR(__xludf.DUMMYFUNCTION("""COMPUTED_VALUE"""),"gp.handoko15@gmail.com")</f>
        <v>gp.handoko15@gmail.com</v>
      </c>
      <c r="C12" s="3">
        <v>123123.0</v>
      </c>
      <c r="D12" s="3" t="s">
        <v>8</v>
      </c>
      <c r="E12" s="3" t="s">
        <v>9</v>
      </c>
      <c r="F12" s="3" t="s">
        <v>10</v>
      </c>
    </row>
    <row r="13">
      <c r="A13" s="5" t="str">
        <f>IFERROR(__xludf.DUMMYFUNCTION("""COMPUTED_VALUE"""),"DBP01000011")</f>
        <v>DBP01000011</v>
      </c>
      <c r="B13" s="5" t="str">
        <f>IFERROR(__xludf.DUMMYFUNCTION("""COMPUTED_VALUE"""),"doddyfirman@yahoo.com")</f>
        <v>doddyfirman@yahoo.com</v>
      </c>
      <c r="C13" s="3">
        <v>123123.0</v>
      </c>
      <c r="D13" s="3" t="s">
        <v>8</v>
      </c>
      <c r="E13" s="3" t="s">
        <v>9</v>
      </c>
      <c r="F13" s="3" t="s">
        <v>10</v>
      </c>
    </row>
    <row r="14">
      <c r="A14" s="5" t="str">
        <f>IFERROR(__xludf.DUMMYFUNCTION("""COMPUTED_VALUE"""),"DBP01000012")</f>
        <v>DBP01000012</v>
      </c>
      <c r="B14" s="5" t="str">
        <f>IFERROR(__xludf.DUMMYFUNCTION("""COMPUTED_VALUE"""),"hawitguritno@gmail.com")</f>
        <v>hawitguritno@gmail.com</v>
      </c>
      <c r="C14" s="3">
        <v>123123.0</v>
      </c>
      <c r="D14" s="3" t="s">
        <v>8</v>
      </c>
      <c r="E14" s="3" t="s">
        <v>9</v>
      </c>
      <c r="F14" s="3" t="s">
        <v>10</v>
      </c>
    </row>
    <row r="15">
      <c r="A15" s="5" t="str">
        <f>IFERROR(__xludf.DUMMYFUNCTION("""COMPUTED_VALUE"""),"DBP01000013")</f>
        <v>DBP01000013</v>
      </c>
      <c r="B15" s="5" t="str">
        <f>IFERROR(__xludf.DUMMYFUNCTION("""COMPUTED_VALUE"""),"malaekayanti@gmail.com")</f>
        <v>malaekayanti@gmail.com</v>
      </c>
      <c r="C15" s="3">
        <v>123123.0</v>
      </c>
      <c r="D15" s="3" t="s">
        <v>8</v>
      </c>
      <c r="E15" s="3" t="s">
        <v>9</v>
      </c>
      <c r="F15" s="3" t="s">
        <v>10</v>
      </c>
    </row>
    <row r="16">
      <c r="A16" s="5" t="str">
        <f>IFERROR(__xludf.DUMMYFUNCTION("""COMPUTED_VALUE"""),"DBP01000014")</f>
        <v>DBP01000014</v>
      </c>
      <c r="B16" s="5" t="str">
        <f>IFERROR(__xludf.DUMMYFUNCTION("""COMPUTED_VALUE"""),"rizkiarisy@gmail.com")</f>
        <v>rizkiarisy@gmail.com</v>
      </c>
      <c r="C16" s="3">
        <v>123123.0</v>
      </c>
      <c r="D16" s="3" t="s">
        <v>8</v>
      </c>
      <c r="E16" s="3" t="s">
        <v>9</v>
      </c>
      <c r="F16" s="3" t="s">
        <v>10</v>
      </c>
      <c r="H16" s="4"/>
    </row>
    <row r="17">
      <c r="A17" s="5" t="str">
        <f>IFERROR(__xludf.DUMMYFUNCTION("""COMPUTED_VALUE"""),"DBP01000015")</f>
        <v>DBP01000015</v>
      </c>
      <c r="B17" s="5" t="str">
        <f>IFERROR(__xludf.DUMMYFUNCTION("""COMPUTED_VALUE"""),"fazia.febriany@gmail.com")</f>
        <v>fazia.febriany@gmail.com</v>
      </c>
      <c r="C17" s="3">
        <v>123123.0</v>
      </c>
      <c r="D17" s="3" t="s">
        <v>8</v>
      </c>
      <c r="E17" s="3" t="s">
        <v>9</v>
      </c>
      <c r="F17" s="3" t="s">
        <v>10</v>
      </c>
    </row>
    <row r="18">
      <c r="A18" s="5" t="str">
        <f>IFERROR(__xludf.DUMMYFUNCTION("""COMPUTED_VALUE"""),"DBP01000016")</f>
        <v>DBP01000016</v>
      </c>
      <c r="B18" s="5" t="str">
        <f>IFERROR(__xludf.DUMMYFUNCTION("""COMPUTED_VALUE"""),"wijayajilan@gmail.com")</f>
        <v>wijayajilan@gmail.com</v>
      </c>
      <c r="C18" s="3">
        <v>123123.0</v>
      </c>
      <c r="D18" s="3" t="s">
        <v>8</v>
      </c>
      <c r="E18" s="3" t="s">
        <v>9</v>
      </c>
      <c r="F18" s="3" t="s">
        <v>10</v>
      </c>
    </row>
    <row r="19">
      <c r="A19" s="5" t="str">
        <f>IFERROR(__xludf.DUMMYFUNCTION("""COMPUTED_VALUE"""),"DBP01000017")</f>
        <v>DBP01000017</v>
      </c>
      <c r="B19" s="5" t="str">
        <f>IFERROR(__xludf.DUMMYFUNCTION("""COMPUTED_VALUE"""),"nurrohmanazis1992@gmail.com")</f>
        <v>nurrohmanazis1992@gmail.com</v>
      </c>
      <c r="C19" s="3">
        <v>123123.0</v>
      </c>
      <c r="D19" s="3" t="s">
        <v>8</v>
      </c>
      <c r="E19" s="3" t="s">
        <v>9</v>
      </c>
      <c r="F19" s="3" t="s">
        <v>10</v>
      </c>
    </row>
    <row r="20">
      <c r="A20" s="5" t="str">
        <f>IFERROR(__xludf.DUMMYFUNCTION("""COMPUTED_VALUE"""),"DBP01000018")</f>
        <v>DBP01000018</v>
      </c>
      <c r="B20" s="5"/>
      <c r="C20" s="3">
        <v>123123.0</v>
      </c>
      <c r="D20" s="3" t="s">
        <v>8</v>
      </c>
      <c r="E20" s="3" t="s">
        <v>9</v>
      </c>
      <c r="F20" s="3" t="s">
        <v>10</v>
      </c>
    </row>
    <row r="21">
      <c r="A21" s="5" t="str">
        <f>IFERROR(__xludf.DUMMYFUNCTION("""COMPUTED_VALUE"""),"DBP01000019")</f>
        <v>DBP01000019</v>
      </c>
      <c r="B21" s="5" t="str">
        <f>IFERROR(__xludf.DUMMYFUNCTION("""COMPUTED_VALUE"""),"nicho.tarigan@gmail.com")</f>
        <v>nicho.tarigan@gmail.com</v>
      </c>
      <c r="C21" s="3">
        <v>123123.0</v>
      </c>
      <c r="D21" s="3" t="s">
        <v>8</v>
      </c>
      <c r="E21" s="3" t="s">
        <v>9</v>
      </c>
      <c r="F21" s="3" t="s">
        <v>10</v>
      </c>
    </row>
    <row r="22">
      <c r="A22" s="5" t="str">
        <f>IFERROR(__xludf.DUMMYFUNCTION("""COMPUTED_VALUE"""),"DBP01000020")</f>
        <v>DBP01000020</v>
      </c>
      <c r="B22" s="5" t="str">
        <f>IFERROR(__xludf.DUMMYFUNCTION("""COMPUTED_VALUE"""),"Ogyfabrio@gmail.com")</f>
        <v>Ogyfabrio@gmail.com</v>
      </c>
      <c r="C22" s="3">
        <v>123123.0</v>
      </c>
      <c r="D22" s="3" t="s">
        <v>8</v>
      </c>
      <c r="E22" s="3" t="s">
        <v>9</v>
      </c>
      <c r="F22" s="3" t="s">
        <v>10</v>
      </c>
    </row>
    <row r="23">
      <c r="A23" s="5" t="str">
        <f>IFERROR(__xludf.DUMMYFUNCTION("""COMPUTED_VALUE"""),"DBP01000021")</f>
        <v>DBP01000021</v>
      </c>
      <c r="B23" s="5" t="str">
        <f>IFERROR(__xludf.DUMMYFUNCTION("""COMPUTED_VALUE"""),"suhandies@gmail.com")</f>
        <v>suhandies@gmail.com</v>
      </c>
      <c r="C23" s="3">
        <v>123123.0</v>
      </c>
      <c r="D23" s="3" t="s">
        <v>8</v>
      </c>
      <c r="E23" s="3" t="s">
        <v>9</v>
      </c>
      <c r="F23" s="3" t="s">
        <v>10</v>
      </c>
    </row>
    <row r="24">
      <c r="A24" s="5" t="str">
        <f>IFERROR(__xludf.DUMMYFUNCTION("""COMPUTED_VALUE"""),"DBP01000022")</f>
        <v>DBP01000022</v>
      </c>
      <c r="B24" s="5" t="str">
        <f>IFERROR(__xludf.DUMMYFUNCTION("""COMPUTED_VALUE"""),"riyadhi.atha@gmail.com")</f>
        <v>riyadhi.atha@gmail.com</v>
      </c>
      <c r="C24" s="3">
        <v>123123.0</v>
      </c>
      <c r="D24" s="3" t="s">
        <v>8</v>
      </c>
      <c r="E24" s="3" t="s">
        <v>9</v>
      </c>
      <c r="F24" s="3" t="s">
        <v>10</v>
      </c>
    </row>
    <row r="25">
      <c r="A25" s="5" t="str">
        <f>IFERROR(__xludf.DUMMYFUNCTION("""COMPUTED_VALUE"""),"DBP01000023")</f>
        <v>DBP01000023</v>
      </c>
      <c r="B25" s="5" t="str">
        <f>IFERROR(__xludf.DUMMYFUNCTION("""COMPUTED_VALUE"""),"Marthanitaflorentinas@gmail.com")</f>
        <v>Marthanitaflorentinas@gmail.com</v>
      </c>
      <c r="C25" s="3">
        <v>123123.0</v>
      </c>
      <c r="D25" s="3" t="s">
        <v>8</v>
      </c>
      <c r="E25" s="3" t="s">
        <v>9</v>
      </c>
      <c r="F25" s="3" t="s">
        <v>10</v>
      </c>
    </row>
    <row r="26">
      <c r="A26" s="5" t="str">
        <f>IFERROR(__xludf.DUMMYFUNCTION("""COMPUTED_VALUE"""),"DBP01000024")</f>
        <v>DBP01000024</v>
      </c>
      <c r="B26" s="5" t="str">
        <f>IFERROR(__xludf.DUMMYFUNCTION("""COMPUTED_VALUE"""),"ferdinand.hiu@gmail.com")</f>
        <v>ferdinand.hiu@gmail.com</v>
      </c>
      <c r="C26" s="3">
        <v>123123.0</v>
      </c>
      <c r="D26" s="3" t="s">
        <v>8</v>
      </c>
      <c r="E26" s="3" t="s">
        <v>9</v>
      </c>
      <c r="F26" s="3" t="s">
        <v>10</v>
      </c>
    </row>
    <row r="27">
      <c r="A27" s="5" t="str">
        <f>IFERROR(__xludf.DUMMYFUNCTION("""COMPUTED_VALUE"""),"DBP01000025")</f>
        <v>DBP01000025</v>
      </c>
      <c r="B27" s="5" t="str">
        <f>IFERROR(__xludf.DUMMYFUNCTION("""COMPUTED_VALUE"""),"sagitas@xlfutureleaders.com")</f>
        <v>sagitas@xlfutureleaders.com</v>
      </c>
      <c r="C27" s="3">
        <v>123123.0</v>
      </c>
      <c r="D27" s="3" t="s">
        <v>8</v>
      </c>
      <c r="E27" s="3" t="s">
        <v>9</v>
      </c>
      <c r="F27" s="3" t="s">
        <v>10</v>
      </c>
    </row>
    <row r="28">
      <c r="A28" s="5" t="str">
        <f>IFERROR(__xludf.DUMMYFUNCTION("""COMPUTED_VALUE"""),"DBP01000026")</f>
        <v>DBP01000026</v>
      </c>
      <c r="B28" s="5" t="str">
        <f>IFERROR(__xludf.DUMMYFUNCTION("""COMPUTED_VALUE"""),"herozh94@gmail.com")</f>
        <v>herozh94@gmail.com</v>
      </c>
      <c r="C28" s="3">
        <v>123123.0</v>
      </c>
      <c r="D28" s="3" t="s">
        <v>8</v>
      </c>
      <c r="E28" s="3" t="s">
        <v>9</v>
      </c>
      <c r="F28" s="3" t="s">
        <v>10</v>
      </c>
    </row>
    <row r="29">
      <c r="A29" s="5" t="str">
        <f>IFERROR(__xludf.DUMMYFUNCTION("""COMPUTED_VALUE"""),"DBP01000027")</f>
        <v>DBP01000027</v>
      </c>
      <c r="B29" s="5" t="str">
        <f>IFERROR(__xludf.DUMMYFUNCTION("""COMPUTED_VALUE"""),"Fjrhdy11@gmail.com")</f>
        <v>Fjrhdy11@gmail.com</v>
      </c>
      <c r="C29" s="3">
        <v>123123.0</v>
      </c>
      <c r="D29" s="3" t="s">
        <v>8</v>
      </c>
      <c r="E29" s="3" t="s">
        <v>9</v>
      </c>
      <c r="F29" s="3" t="s">
        <v>10</v>
      </c>
    </row>
    <row r="30">
      <c r="A30" s="5" t="str">
        <f>IFERROR(__xludf.DUMMYFUNCTION("""COMPUTED_VALUE"""),"DBP01000028")</f>
        <v>DBP01000028</v>
      </c>
      <c r="B30" s="5" t="str">
        <f>IFERROR(__xludf.DUMMYFUNCTION("""COMPUTED_VALUE"""),"khasanm86@gmail.com")</f>
        <v>khasanm86@gmail.com</v>
      </c>
      <c r="C30" s="3">
        <v>123123.0</v>
      </c>
      <c r="D30" s="3" t="s">
        <v>8</v>
      </c>
      <c r="E30" s="3" t="s">
        <v>9</v>
      </c>
      <c r="F30" s="3" t="s">
        <v>10</v>
      </c>
    </row>
    <row r="31">
      <c r="A31" s="5" t="str">
        <f>IFERROR(__xludf.DUMMYFUNCTION("""COMPUTED_VALUE"""),"DBP01000029")</f>
        <v>DBP01000029</v>
      </c>
      <c r="B31" s="5" t="str">
        <f>IFERROR(__xludf.DUMMYFUNCTION("""COMPUTED_VALUE"""),"ilham.pbd@gmail.com")</f>
        <v>ilham.pbd@gmail.com</v>
      </c>
      <c r="C31" s="3">
        <v>30419.0</v>
      </c>
      <c r="D31" s="3" t="s">
        <v>11</v>
      </c>
      <c r="E31" s="3" t="s">
        <v>9</v>
      </c>
      <c r="F31" s="3" t="s">
        <v>10</v>
      </c>
    </row>
    <row r="32">
      <c r="A32" s="5" t="str">
        <f>IFERROR(__xludf.DUMMYFUNCTION("""COMPUTED_VALUE"""),"DBP01000030")</f>
        <v>DBP01000030</v>
      </c>
      <c r="B32" s="5" t="str">
        <f>IFERROR(__xludf.DUMMYFUNCTION("""COMPUTED_VALUE"""),"shafi.faris33@gmail.com")</f>
        <v>shafi.faris33@gmail.com</v>
      </c>
      <c r="C32" s="3">
        <v>123123.0</v>
      </c>
      <c r="D32" s="3" t="s">
        <v>8</v>
      </c>
      <c r="E32" s="3" t="s">
        <v>9</v>
      </c>
      <c r="F32" s="3" t="s">
        <v>10</v>
      </c>
    </row>
    <row r="33">
      <c r="A33" s="5" t="str">
        <f>IFERROR(__xludf.DUMMYFUNCTION("""COMPUTED_VALUE"""),"DBP01000031")</f>
        <v>DBP01000031</v>
      </c>
      <c r="B33" s="5" t="str">
        <f>IFERROR(__xludf.DUMMYFUNCTION("""COMPUTED_VALUE"""),"Hapinksihanti89@gmail.com ")</f>
        <v>Hapinksihanti89@gmail.com </v>
      </c>
      <c r="C33" s="3">
        <v>123123.0</v>
      </c>
      <c r="D33" s="3" t="s">
        <v>8</v>
      </c>
      <c r="E33" s="3" t="s">
        <v>9</v>
      </c>
      <c r="F33" s="3" t="s">
        <v>10</v>
      </c>
    </row>
    <row r="34">
      <c r="A34" s="5" t="str">
        <f>IFERROR(__xludf.DUMMYFUNCTION("""COMPUTED_VALUE"""),"DBP01000032")</f>
        <v>DBP01000032</v>
      </c>
      <c r="B34" s="5" t="str">
        <f>IFERROR(__xludf.DUMMYFUNCTION("""COMPUTED_VALUE"""),"didopranata@gmail.com")</f>
        <v>didopranata@gmail.com</v>
      </c>
      <c r="C34" s="3">
        <v>123123.0</v>
      </c>
      <c r="D34" s="3" t="s">
        <v>8</v>
      </c>
      <c r="E34" s="3" t="s">
        <v>9</v>
      </c>
      <c r="F34" s="3" t="s">
        <v>10</v>
      </c>
    </row>
    <row r="35">
      <c r="A35" s="5" t="str">
        <f>IFERROR(__xludf.DUMMYFUNCTION("""COMPUTED_VALUE"""),"DBP01000033")</f>
        <v>DBP01000033</v>
      </c>
      <c r="B35" s="5" t="str">
        <f>IFERROR(__xludf.DUMMYFUNCTION("""COMPUTED_VALUE"""),"putununiek89@unhi.ac.id")</f>
        <v>putununiek89@unhi.ac.id</v>
      </c>
      <c r="C35" s="3">
        <v>123123.0</v>
      </c>
      <c r="D35" s="3" t="s">
        <v>8</v>
      </c>
      <c r="E35" s="3" t="s">
        <v>9</v>
      </c>
      <c r="F35" s="3" t="s">
        <v>10</v>
      </c>
    </row>
    <row r="36">
      <c r="A36" s="5" t="str">
        <f>IFERROR(__xludf.DUMMYFUNCTION("""COMPUTED_VALUE"""),"DBP01000034")</f>
        <v>DBP01000034</v>
      </c>
      <c r="B36" s="5" t="str">
        <f>IFERROR(__xludf.DUMMYFUNCTION("""COMPUTED_VALUE"""),"neserike@gmail.com")</f>
        <v>neserike@gmail.com</v>
      </c>
      <c r="C36" s="3">
        <v>123123.0</v>
      </c>
      <c r="D36" s="3" t="s">
        <v>8</v>
      </c>
      <c r="E36" s="3" t="s">
        <v>9</v>
      </c>
      <c r="F36" s="3" t="s">
        <v>10</v>
      </c>
    </row>
    <row r="37">
      <c r="A37" s="5" t="str">
        <f>IFERROR(__xludf.DUMMYFUNCTION("""COMPUTED_VALUE"""),"DBP01000035")</f>
        <v>DBP01000035</v>
      </c>
      <c r="B37" s="5" t="str">
        <f>IFERROR(__xludf.DUMMYFUNCTION("""COMPUTED_VALUE"""),"yudith.tm@gmail.com")</f>
        <v>yudith.tm@gmail.com</v>
      </c>
      <c r="C37" s="3">
        <v>123123.0</v>
      </c>
      <c r="D37" s="3" t="s">
        <v>8</v>
      </c>
      <c r="E37" s="3" t="s">
        <v>9</v>
      </c>
      <c r="F37" s="3" t="s">
        <v>10</v>
      </c>
    </row>
    <row r="38">
      <c r="A38" s="5" t="str">
        <f>IFERROR(__xludf.DUMMYFUNCTION("""COMPUTED_VALUE"""),"DBP01000036")</f>
        <v>DBP01000036</v>
      </c>
      <c r="B38" s="5"/>
      <c r="C38" s="3">
        <v>123123.0</v>
      </c>
      <c r="D38" s="3" t="s">
        <v>8</v>
      </c>
      <c r="E38" s="3" t="s">
        <v>9</v>
      </c>
      <c r="F38" s="3" t="s">
        <v>10</v>
      </c>
    </row>
    <row r="39">
      <c r="A39" s="5" t="str">
        <f>IFERROR(__xludf.DUMMYFUNCTION("""COMPUTED_VALUE"""),"DBP01000037")</f>
        <v>DBP01000037</v>
      </c>
      <c r="B39" s="5" t="str">
        <f>IFERROR(__xludf.DUMMYFUNCTION("""COMPUTED_VALUE"""),"deidranataliet@gmail.com")</f>
        <v>deidranataliet@gmail.com</v>
      </c>
      <c r="C39" s="3">
        <v>123123.0</v>
      </c>
      <c r="D39" s="3" t="s">
        <v>8</v>
      </c>
      <c r="E39" s="3" t="s">
        <v>9</v>
      </c>
      <c r="F39" s="3" t="s">
        <v>10</v>
      </c>
      <c r="H39" s="4"/>
    </row>
    <row r="40">
      <c r="A40" s="5" t="str">
        <f>IFERROR(__xludf.DUMMYFUNCTION("""COMPUTED_VALUE"""),"DBP01000038")</f>
        <v>DBP01000038</v>
      </c>
      <c r="B40" s="5" t="str">
        <f>IFERROR(__xludf.DUMMYFUNCTION("""COMPUTED_VALUE"""),"dianboer@gmail.com")</f>
        <v>dianboer@gmail.com</v>
      </c>
      <c r="C40" s="3">
        <v>123123.0</v>
      </c>
      <c r="D40" s="3" t="s">
        <v>8</v>
      </c>
      <c r="E40" s="3" t="s">
        <v>9</v>
      </c>
      <c r="F40" s="3" t="s">
        <v>10</v>
      </c>
    </row>
    <row r="41">
      <c r="A41" s="5" t="str">
        <f>IFERROR(__xludf.DUMMYFUNCTION("""COMPUTED_VALUE"""),"DBP01000039")</f>
        <v>DBP01000039</v>
      </c>
      <c r="B41" s="5" t="str">
        <f>IFERROR(__xludf.DUMMYFUNCTION("""COMPUTED_VALUE"""),"pelitawati1@gmail.com")</f>
        <v>pelitawati1@gmail.com</v>
      </c>
      <c r="C41" s="3">
        <v>123123.0</v>
      </c>
      <c r="D41" s="3" t="s">
        <v>8</v>
      </c>
      <c r="E41" s="3" t="s">
        <v>9</v>
      </c>
      <c r="F41" s="3" t="s">
        <v>10</v>
      </c>
    </row>
    <row r="42">
      <c r="A42" s="5" t="str">
        <f>IFERROR(__xludf.DUMMYFUNCTION("""COMPUTED_VALUE"""),"DBP01000040")</f>
        <v>DBP01000040</v>
      </c>
      <c r="B42" s="5" t="str">
        <f>IFERROR(__xludf.DUMMYFUNCTION("""COMPUTED_VALUE"""),"ricohalim46@gmail.com")</f>
        <v>ricohalim46@gmail.com</v>
      </c>
      <c r="C42" s="3">
        <v>112233.0</v>
      </c>
      <c r="D42" s="3" t="s">
        <v>11</v>
      </c>
      <c r="E42" s="3" t="s">
        <v>9</v>
      </c>
      <c r="F42" s="3" t="s">
        <v>10</v>
      </c>
    </row>
    <row r="43">
      <c r="A43" s="5" t="str">
        <f>IFERROR(__xludf.DUMMYFUNCTION("""COMPUTED_VALUE"""),"DBP01000041")</f>
        <v>DBP01000041</v>
      </c>
      <c r="B43" s="5" t="str">
        <f>IFERROR(__xludf.DUMMYFUNCTION("""COMPUTED_VALUE"""),"citra.asmara.83@gmail.com")</f>
        <v>citra.asmara.83@gmail.com</v>
      </c>
      <c r="C43" s="3">
        <v>123123.0</v>
      </c>
      <c r="D43" s="3" t="s">
        <v>8</v>
      </c>
      <c r="E43" s="3" t="s">
        <v>9</v>
      </c>
      <c r="F43" s="3" t="s">
        <v>10</v>
      </c>
    </row>
    <row r="44">
      <c r="A44" s="5" t="str">
        <f>IFERROR(__xludf.DUMMYFUNCTION("""COMPUTED_VALUE"""),"DBP01000042")</f>
        <v>DBP01000042</v>
      </c>
      <c r="B44" s="5" t="str">
        <f>IFERROR(__xludf.DUMMYFUNCTION("""COMPUTED_VALUE"""),"cynthiakp.ckp@gmail.com")</f>
        <v>cynthiakp.ckp@gmail.com</v>
      </c>
      <c r="C44" s="3">
        <v>123123.0</v>
      </c>
      <c r="D44" s="3" t="s">
        <v>8</v>
      </c>
      <c r="E44" s="3" t="s">
        <v>9</v>
      </c>
      <c r="F44" s="3" t="s">
        <v>10</v>
      </c>
    </row>
    <row r="45">
      <c r="A45" s="5" t="str">
        <f>IFERROR(__xludf.DUMMYFUNCTION("""COMPUTED_VALUE"""),"DBP01000043")</f>
        <v>DBP01000043</v>
      </c>
      <c r="B45" s="5" t="str">
        <f>IFERROR(__xludf.DUMMYFUNCTION("""COMPUTED_VALUE"""),"solehrifai@gmail.com")</f>
        <v>solehrifai@gmail.com</v>
      </c>
      <c r="C45" s="3">
        <v>123123.0</v>
      </c>
      <c r="D45" s="3" t="s">
        <v>8</v>
      </c>
      <c r="E45" s="3" t="s">
        <v>9</v>
      </c>
      <c r="F45" s="3" t="s">
        <v>10</v>
      </c>
    </row>
    <row r="46">
      <c r="A46" s="5" t="str">
        <f>IFERROR(__xludf.DUMMYFUNCTION("""COMPUTED_VALUE"""),"DBP01000044")</f>
        <v>DBP01000044</v>
      </c>
      <c r="B46" s="5" t="str">
        <f>IFERROR(__xludf.DUMMYFUNCTION("""COMPUTED_VALUE"""),"iqbalfa5@gmail.com")</f>
        <v>iqbalfa5@gmail.com</v>
      </c>
      <c r="C46" s="3">
        <v>959089.0</v>
      </c>
      <c r="D46" s="3" t="s">
        <v>11</v>
      </c>
      <c r="E46" s="3" t="s">
        <v>9</v>
      </c>
      <c r="F46" s="3" t="s">
        <v>10</v>
      </c>
    </row>
    <row r="47">
      <c r="A47" s="5" t="str">
        <f>IFERROR(__xludf.DUMMYFUNCTION("""COMPUTED_VALUE"""),"DBP01000045")</f>
        <v>DBP01000045</v>
      </c>
      <c r="B47" s="5" t="str">
        <f>IFERROR(__xludf.DUMMYFUNCTION("""COMPUTED_VALUE"""),"nisalatu1995@gmail.com")</f>
        <v>nisalatu1995@gmail.com</v>
      </c>
      <c r="C47" s="3">
        <v>123123.0</v>
      </c>
      <c r="D47" s="3" t="s">
        <v>8</v>
      </c>
      <c r="E47" s="3" t="s">
        <v>9</v>
      </c>
      <c r="F47" s="3" t="s">
        <v>10</v>
      </c>
      <c r="H47" s="4"/>
    </row>
    <row r="48">
      <c r="A48" s="5" t="str">
        <f>IFERROR(__xludf.DUMMYFUNCTION("""COMPUTED_VALUE"""),"DBP01000046")</f>
        <v>DBP01000046</v>
      </c>
      <c r="B48" s="5" t="str">
        <f>IFERROR(__xludf.DUMMYFUNCTION("""COMPUTED_VALUE"""),"faizaldikky@gmail.com")</f>
        <v>faizaldikky@gmail.com</v>
      </c>
      <c r="C48" s="3">
        <v>123123.0</v>
      </c>
      <c r="D48" s="3" t="s">
        <v>8</v>
      </c>
      <c r="E48" s="3" t="s">
        <v>9</v>
      </c>
      <c r="F48" s="3" t="s">
        <v>10</v>
      </c>
    </row>
    <row r="49">
      <c r="A49" s="5" t="str">
        <f>IFERROR(__xludf.DUMMYFUNCTION("""COMPUTED_VALUE"""),"DBP01000047")</f>
        <v>DBP01000047</v>
      </c>
      <c r="B49" s="5" t="str">
        <f>IFERROR(__xludf.DUMMYFUNCTION("""COMPUTED_VALUE"""),"veronicamdn9@gmail.com")</f>
        <v>veronicamdn9@gmail.com</v>
      </c>
      <c r="C49" s="3" t="s">
        <v>12</v>
      </c>
      <c r="D49" s="3" t="s">
        <v>11</v>
      </c>
      <c r="E49" s="3" t="s">
        <v>9</v>
      </c>
      <c r="F49" s="3" t="s">
        <v>10</v>
      </c>
    </row>
    <row r="50">
      <c r="A50" s="5" t="str">
        <f>IFERROR(__xludf.DUMMYFUNCTION("""COMPUTED_VALUE"""),"DBP01000048")</f>
        <v>DBP01000048</v>
      </c>
      <c r="B50" s="5" t="str">
        <f>IFERROR(__xludf.DUMMYFUNCTION("""COMPUTED_VALUE"""),"rikarahmayuni08@gmail.com")</f>
        <v>rikarahmayuni08@gmail.com</v>
      </c>
      <c r="C50" s="3">
        <v>123123.0</v>
      </c>
      <c r="D50" s="3" t="s">
        <v>8</v>
      </c>
      <c r="E50" s="3" t="s">
        <v>9</v>
      </c>
      <c r="F50" s="3" t="s">
        <v>10</v>
      </c>
    </row>
    <row r="51">
      <c r="A51" s="5" t="str">
        <f>IFERROR(__xludf.DUMMYFUNCTION("""COMPUTED_VALUE"""),"DBP01000049")</f>
        <v>DBP01000049</v>
      </c>
      <c r="B51" s="5"/>
      <c r="C51" s="3">
        <v>123123.0</v>
      </c>
      <c r="D51" s="3" t="s">
        <v>8</v>
      </c>
      <c r="E51" s="3" t="s">
        <v>9</v>
      </c>
      <c r="F51" s="3" t="s">
        <v>10</v>
      </c>
    </row>
    <row r="52">
      <c r="A52" s="5" t="str">
        <f>IFERROR(__xludf.DUMMYFUNCTION("""COMPUTED_VALUE"""),"DBP01000050")</f>
        <v>DBP01000050</v>
      </c>
      <c r="B52" s="5" t="str">
        <f>IFERROR(__xludf.DUMMYFUNCTION("""COMPUTED_VALUE"""),"pandusukmaks@gmail.com")</f>
        <v>pandusukmaks@gmail.com</v>
      </c>
      <c r="C52" s="3">
        <v>123123.0</v>
      </c>
      <c r="D52" s="3" t="s">
        <v>8</v>
      </c>
      <c r="E52" s="3" t="s">
        <v>9</v>
      </c>
      <c r="F52" s="3" t="s">
        <v>10</v>
      </c>
    </row>
    <row r="53">
      <c r="A53" s="5" t="str">
        <f>IFERROR(__xludf.DUMMYFUNCTION("""COMPUTED_VALUE"""),"DBP01000051")</f>
        <v>DBP01000051</v>
      </c>
      <c r="B53" s="5" t="str">
        <f>IFERROR(__xludf.DUMMYFUNCTION("""COMPUTED_VALUE"""),"yukaprm29@gmail.com")</f>
        <v>yukaprm29@gmail.com</v>
      </c>
      <c r="C53" s="3">
        <v>123123.0</v>
      </c>
      <c r="D53" s="3" t="s">
        <v>8</v>
      </c>
      <c r="E53" s="3" t="s">
        <v>9</v>
      </c>
      <c r="F53" s="3" t="s">
        <v>10</v>
      </c>
    </row>
    <row r="54">
      <c r="A54" s="5" t="str">
        <f>IFERROR(__xludf.DUMMYFUNCTION("""COMPUTED_VALUE"""),"DBP01000052")</f>
        <v>DBP01000052</v>
      </c>
      <c r="B54" s="5" t="str">
        <f>IFERROR(__xludf.DUMMYFUNCTION("""COMPUTED_VALUE"""),"dudih.sutrisman@yahoo.co.id")</f>
        <v>dudih.sutrisman@yahoo.co.id</v>
      </c>
      <c r="C54" s="3">
        <v>123123.0</v>
      </c>
      <c r="D54" s="3" t="s">
        <v>8</v>
      </c>
      <c r="E54" s="3" t="s">
        <v>9</v>
      </c>
      <c r="F54" s="3" t="s">
        <v>10</v>
      </c>
    </row>
    <row r="55">
      <c r="A55" s="5" t="str">
        <f>IFERROR(__xludf.DUMMYFUNCTION("""COMPUTED_VALUE"""),"DBP01000053")</f>
        <v>DBP01000053</v>
      </c>
      <c r="B55" s="5" t="str">
        <f>IFERROR(__xludf.DUMMYFUNCTION("""COMPUTED_VALUE"""),"baguz87@gmail.com")</f>
        <v>baguz87@gmail.com</v>
      </c>
      <c r="C55" s="3">
        <v>123123.0</v>
      </c>
      <c r="D55" s="3" t="s">
        <v>8</v>
      </c>
      <c r="E55" s="3" t="s">
        <v>9</v>
      </c>
      <c r="F55" s="3" t="s">
        <v>10</v>
      </c>
    </row>
    <row r="56">
      <c r="A56" s="5" t="str">
        <f>IFERROR(__xludf.DUMMYFUNCTION("""COMPUTED_VALUE"""),"DBP01000054")</f>
        <v>DBP01000054</v>
      </c>
      <c r="B56" s="5" t="str">
        <f>IFERROR(__xludf.DUMMYFUNCTION("""COMPUTED_VALUE"""),"andreseptian227@gmail.com")</f>
        <v>andreseptian227@gmail.com</v>
      </c>
      <c r="C56" s="3">
        <v>123123.0</v>
      </c>
      <c r="D56" s="3" t="s">
        <v>8</v>
      </c>
      <c r="E56" s="3" t="s">
        <v>9</v>
      </c>
      <c r="F56" s="3" t="s">
        <v>10</v>
      </c>
    </row>
    <row r="57">
      <c r="A57" s="5" t="str">
        <f>IFERROR(__xludf.DUMMYFUNCTION("""COMPUTED_VALUE"""),"DBP01000055")</f>
        <v>DBP01000055</v>
      </c>
      <c r="B57" s="5" t="str">
        <f>IFERROR(__xludf.DUMMYFUNCTION("""COMPUTED_VALUE"""),"uswachassanah@gmail.com")</f>
        <v>uswachassanah@gmail.com</v>
      </c>
      <c r="C57" s="3">
        <v>123123.0</v>
      </c>
      <c r="D57" s="3" t="s">
        <v>8</v>
      </c>
      <c r="E57" s="3" t="s">
        <v>9</v>
      </c>
      <c r="F57" s="3" t="s">
        <v>10</v>
      </c>
    </row>
    <row r="58">
      <c r="A58" s="5" t="str">
        <f>IFERROR(__xludf.DUMMYFUNCTION("""COMPUTED_VALUE"""),"DBP01000056")</f>
        <v>DBP01000056</v>
      </c>
      <c r="B58" s="5" t="str">
        <f>IFERROR(__xludf.DUMMYFUNCTION("""COMPUTED_VALUE"""),"akbar.bayurahmat@gmail.com")</f>
        <v>akbar.bayurahmat@gmail.com</v>
      </c>
      <c r="C58" s="3">
        <v>123123.0</v>
      </c>
      <c r="D58" s="3" t="s">
        <v>8</v>
      </c>
      <c r="E58" s="3" t="s">
        <v>9</v>
      </c>
      <c r="F58" s="3" t="s">
        <v>10</v>
      </c>
    </row>
    <row r="59">
      <c r="A59" s="5" t="str">
        <f>IFERROR(__xludf.DUMMYFUNCTION("""COMPUTED_VALUE"""),"DBP01000057")</f>
        <v>DBP01000057</v>
      </c>
      <c r="B59" s="5" t="str">
        <f>IFERROR(__xludf.DUMMYFUNCTION("""COMPUTED_VALUE"""),"Fitraarrahma12@gmail.com")</f>
        <v>Fitraarrahma12@gmail.com</v>
      </c>
      <c r="C59" s="3">
        <v>123123.0</v>
      </c>
      <c r="D59" s="3" t="s">
        <v>8</v>
      </c>
      <c r="E59" s="3" t="s">
        <v>9</v>
      </c>
      <c r="F59" s="3" t="s">
        <v>10</v>
      </c>
    </row>
    <row r="60">
      <c r="A60" s="5" t="str">
        <f>IFERROR(__xludf.DUMMYFUNCTION("""COMPUTED_VALUE"""),"DBP01000058")</f>
        <v>DBP01000058</v>
      </c>
      <c r="B60" s="5" t="str">
        <f>IFERROR(__xludf.DUMMYFUNCTION("""COMPUTED_VALUE"""),"nidya.hendrawan.tjong@gmail.com")</f>
        <v>nidya.hendrawan.tjong@gmail.com</v>
      </c>
      <c r="C60" s="3">
        <v>123123.0</v>
      </c>
      <c r="D60" s="3" t="s">
        <v>8</v>
      </c>
      <c r="E60" s="3" t="s">
        <v>9</v>
      </c>
      <c r="F60" s="3" t="s">
        <v>10</v>
      </c>
      <c r="H60" s="4"/>
    </row>
    <row r="61">
      <c r="A61" s="5" t="str">
        <f>IFERROR(__xludf.DUMMYFUNCTION("""COMPUTED_VALUE"""),"DBP01000059")</f>
        <v>DBP01000059</v>
      </c>
      <c r="B61" s="5" t="str">
        <f>IFERROR(__xludf.DUMMYFUNCTION("""COMPUTED_VALUE"""),"ameliaaugustin00@gmail.com")</f>
        <v>ameliaaugustin00@gmail.com</v>
      </c>
      <c r="C61" s="3">
        <v>123123.0</v>
      </c>
      <c r="D61" s="3" t="s">
        <v>8</v>
      </c>
      <c r="E61" s="3" t="s">
        <v>9</v>
      </c>
      <c r="F61" s="3" t="s">
        <v>10</v>
      </c>
    </row>
    <row r="62">
      <c r="A62" s="5" t="str">
        <f>IFERROR(__xludf.DUMMYFUNCTION("""COMPUTED_VALUE"""),"DBP01000060")</f>
        <v>DBP01000060</v>
      </c>
      <c r="B62" s="5" t="str">
        <f>IFERROR(__xludf.DUMMYFUNCTION("""COMPUTED_VALUE"""),"farid.noor@umk.ac.id")</f>
        <v>farid.noor@umk.ac.id</v>
      </c>
      <c r="C62" s="3">
        <v>123123.0</v>
      </c>
      <c r="D62" s="3" t="s">
        <v>8</v>
      </c>
      <c r="E62" s="3" t="s">
        <v>9</v>
      </c>
      <c r="F62" s="3" t="s">
        <v>10</v>
      </c>
    </row>
    <row r="63">
      <c r="A63" s="5" t="str">
        <f>IFERROR(__xludf.DUMMYFUNCTION("""COMPUTED_VALUE"""),"DBP01000061")</f>
        <v>DBP01000061</v>
      </c>
      <c r="B63" s="5" t="str">
        <f>IFERROR(__xludf.DUMMYFUNCTION("""COMPUTED_VALUE"""),"shapangestu@gmail.com")</f>
        <v>shapangestu@gmail.com</v>
      </c>
      <c r="C63" s="3">
        <v>123123.0</v>
      </c>
      <c r="D63" s="3" t="s">
        <v>8</v>
      </c>
      <c r="E63" s="3" t="s">
        <v>9</v>
      </c>
      <c r="F63" s="3" t="s">
        <v>10</v>
      </c>
    </row>
    <row r="64">
      <c r="A64" s="5" t="str">
        <f>IFERROR(__xludf.DUMMYFUNCTION("""COMPUTED_VALUE"""),"DBP01000062")</f>
        <v>DBP01000062</v>
      </c>
      <c r="B64" s="5" t="str">
        <f>IFERROR(__xludf.DUMMYFUNCTION("""COMPUTED_VALUE"""),"ikarezvaniaprita@gmail.com")</f>
        <v>ikarezvaniaprita@gmail.com</v>
      </c>
      <c r="C64" s="3">
        <v>123123.0</v>
      </c>
      <c r="D64" s="3" t="s">
        <v>8</v>
      </c>
      <c r="E64" s="3" t="s">
        <v>9</v>
      </c>
      <c r="F64" s="3" t="s">
        <v>10</v>
      </c>
    </row>
    <row r="65">
      <c r="A65" s="5" t="str">
        <f>IFERROR(__xludf.DUMMYFUNCTION("""COMPUTED_VALUE"""),"DBP01000063")</f>
        <v>DBP01000063</v>
      </c>
      <c r="B65" s="5" t="str">
        <f>IFERROR(__xludf.DUMMYFUNCTION("""COMPUTED_VALUE"""),"Ikrimahtaufikhidayat@gmail.com")</f>
        <v>Ikrimahtaufikhidayat@gmail.com</v>
      </c>
      <c r="C65" s="3">
        <v>123123.0</v>
      </c>
      <c r="D65" s="3" t="s">
        <v>8</v>
      </c>
      <c r="E65" s="3" t="s">
        <v>9</v>
      </c>
      <c r="F65" s="3" t="s">
        <v>10</v>
      </c>
    </row>
    <row r="66">
      <c r="A66" s="5" t="str">
        <f>IFERROR(__xludf.DUMMYFUNCTION("""COMPUTED_VALUE"""),"DBP01000064")</f>
        <v>DBP01000064</v>
      </c>
      <c r="B66" s="5" t="str">
        <f>IFERROR(__xludf.DUMMYFUNCTION("""COMPUTED_VALUE"""),"Sasrisyapin@gmail.com")</f>
        <v>Sasrisyapin@gmail.com</v>
      </c>
      <c r="C66" s="3">
        <v>123123.0</v>
      </c>
      <c r="D66" s="3" t="s">
        <v>8</v>
      </c>
      <c r="E66" s="3" t="s">
        <v>9</v>
      </c>
      <c r="F66" s="3" t="s">
        <v>10</v>
      </c>
    </row>
    <row r="67">
      <c r="A67" s="5" t="str">
        <f>IFERROR(__xludf.DUMMYFUNCTION("""COMPUTED_VALUE"""),"DBP01000065")</f>
        <v>DBP01000065</v>
      </c>
      <c r="B67" s="5" t="str">
        <f>IFERROR(__xludf.DUMMYFUNCTION("""COMPUTED_VALUE"""),"firmansyahrizal21@gmail.com")</f>
        <v>firmansyahrizal21@gmail.com</v>
      </c>
      <c r="C67" s="3">
        <v>123123.0</v>
      </c>
      <c r="D67" s="3" t="s">
        <v>8</v>
      </c>
      <c r="E67" s="3" t="s">
        <v>9</v>
      </c>
      <c r="F67" s="3" t="s">
        <v>10</v>
      </c>
    </row>
    <row r="68">
      <c r="A68" s="5" t="str">
        <f>IFERROR(__xludf.DUMMYFUNCTION("""COMPUTED_VALUE"""),"DBP01000066")</f>
        <v>DBP01000066</v>
      </c>
      <c r="B68" s="5" t="str">
        <f>IFERROR(__xludf.DUMMYFUNCTION("""COMPUTED_VALUE"""),"hendi140383@gmail.com ")</f>
        <v>hendi140383@gmail.com </v>
      </c>
      <c r="C68" s="3">
        <v>123123.0</v>
      </c>
      <c r="D68" s="3" t="s">
        <v>8</v>
      </c>
      <c r="E68" s="3" t="s">
        <v>9</v>
      </c>
      <c r="F68" s="3" t="s">
        <v>10</v>
      </c>
    </row>
    <row r="69">
      <c r="A69" s="5" t="str">
        <f>IFERROR(__xludf.DUMMYFUNCTION("""COMPUTED_VALUE"""),"DBP01000067")</f>
        <v>DBP01000067</v>
      </c>
      <c r="B69" s="5" t="str">
        <f>IFERROR(__xludf.DUMMYFUNCTION("""COMPUTED_VALUE"""),"vixkytanudjaja@gmail.com")</f>
        <v>vixkytanudjaja@gmail.com</v>
      </c>
      <c r="C69" s="3">
        <v>123123.0</v>
      </c>
      <c r="D69" s="3" t="s">
        <v>8</v>
      </c>
      <c r="E69" s="3" t="s">
        <v>9</v>
      </c>
      <c r="F69" s="3" t="s">
        <v>10</v>
      </c>
    </row>
    <row r="70">
      <c r="A70" s="5" t="str">
        <f>IFERROR(__xludf.DUMMYFUNCTION("""COMPUTED_VALUE"""),"DBP01000068")</f>
        <v>DBP01000068</v>
      </c>
      <c r="B70" s="5" t="str">
        <f>IFERROR(__xludf.DUMMYFUNCTION("""COMPUTED_VALUE"""),"annabelle230413@gmail.com")</f>
        <v>annabelle230413@gmail.com</v>
      </c>
      <c r="C70" s="3">
        <v>123123.0</v>
      </c>
      <c r="D70" s="3" t="s">
        <v>8</v>
      </c>
      <c r="E70" s="3" t="s">
        <v>9</v>
      </c>
      <c r="F70" s="3" t="s">
        <v>10</v>
      </c>
    </row>
    <row r="71">
      <c r="A71" s="5" t="str">
        <f>IFERROR(__xludf.DUMMYFUNCTION("""COMPUTED_VALUE"""),"DBP01000069")</f>
        <v>DBP01000069</v>
      </c>
      <c r="B71" s="5" t="str">
        <f>IFERROR(__xludf.DUMMYFUNCTION("""COMPUTED_VALUE"""),"denirusmawan826@gmail.com")</f>
        <v>denirusmawan826@gmail.com</v>
      </c>
      <c r="C71" s="3">
        <v>123123.0</v>
      </c>
      <c r="D71" s="3" t="s">
        <v>8</v>
      </c>
      <c r="E71" s="3" t="s">
        <v>9</v>
      </c>
      <c r="F71" s="3" t="s">
        <v>10</v>
      </c>
    </row>
    <row r="72">
      <c r="A72" s="5" t="str">
        <f>IFERROR(__xludf.DUMMYFUNCTION("""COMPUTED_VALUE"""),"DBP01000070")</f>
        <v>DBP01000070</v>
      </c>
      <c r="B72" s="5"/>
      <c r="C72" s="3">
        <v>123123.0</v>
      </c>
      <c r="D72" s="3" t="s">
        <v>8</v>
      </c>
      <c r="E72" s="3" t="s">
        <v>9</v>
      </c>
      <c r="F72" s="3" t="s">
        <v>10</v>
      </c>
    </row>
    <row r="73">
      <c r="A73" s="5" t="str">
        <f>IFERROR(__xludf.DUMMYFUNCTION("""COMPUTED_VALUE"""),"DBP01000071")</f>
        <v>DBP01000071</v>
      </c>
      <c r="B73" s="5" t="str">
        <f>IFERROR(__xludf.DUMMYFUNCTION("""COMPUTED_VALUE"""),"Elisabethevangeline31@gmail.com")</f>
        <v>Elisabethevangeline31@gmail.com</v>
      </c>
      <c r="C73" s="3">
        <v>123123.0</v>
      </c>
      <c r="D73" s="3" t="s">
        <v>8</v>
      </c>
      <c r="E73" s="3" t="s">
        <v>9</v>
      </c>
      <c r="F73" s="3" t="s">
        <v>10</v>
      </c>
    </row>
    <row r="74">
      <c r="A74" s="5" t="str">
        <f>IFERROR(__xludf.DUMMYFUNCTION("""COMPUTED_VALUE"""),"DBP01000072")</f>
        <v>DBP01000072</v>
      </c>
      <c r="B74" s="5" t="str">
        <f>IFERROR(__xludf.DUMMYFUNCTION("""COMPUTED_VALUE"""),"intanlutviana39@gmail.com")</f>
        <v>intanlutviana39@gmail.com</v>
      </c>
      <c r="C74" s="3">
        <v>123123.0</v>
      </c>
      <c r="D74" s="3" t="s">
        <v>8</v>
      </c>
      <c r="E74" s="3" t="s">
        <v>9</v>
      </c>
      <c r="F74" s="3" t="s">
        <v>10</v>
      </c>
    </row>
    <row r="75">
      <c r="A75" s="5" t="str">
        <f>IFERROR(__xludf.DUMMYFUNCTION("""COMPUTED_VALUE"""),"DBP01000073")</f>
        <v>DBP01000073</v>
      </c>
      <c r="B75" s="5" t="str">
        <f>IFERROR(__xludf.DUMMYFUNCTION("""COMPUTED_VALUE"""),"annisatalmera@gmail.com")</f>
        <v>annisatalmera@gmail.com</v>
      </c>
      <c r="C75" s="3">
        <v>123123.0</v>
      </c>
      <c r="D75" s="3" t="s">
        <v>8</v>
      </c>
      <c r="E75" s="3" t="s">
        <v>9</v>
      </c>
      <c r="F75" s="3" t="s">
        <v>10</v>
      </c>
    </row>
    <row r="76">
      <c r="A76" s="5" t="str">
        <f>IFERROR(__xludf.DUMMYFUNCTION("""COMPUTED_VALUE"""),"DBP01000074")</f>
        <v>DBP01000074</v>
      </c>
      <c r="B76" s="5" t="str">
        <f>IFERROR(__xludf.DUMMYFUNCTION("""COMPUTED_VALUE"""),"gabypanglylien@gmail.com")</f>
        <v>gabypanglylien@gmail.com</v>
      </c>
      <c r="C76" s="3">
        <v>123123.0</v>
      </c>
      <c r="D76" s="3" t="s">
        <v>8</v>
      </c>
      <c r="E76" s="3" t="s">
        <v>9</v>
      </c>
      <c r="F76" s="3" t="s">
        <v>10</v>
      </c>
    </row>
    <row r="77">
      <c r="A77" s="5" t="str">
        <f>IFERROR(__xludf.DUMMYFUNCTION("""COMPUTED_VALUE"""),"DBP01000075")</f>
        <v>DBP01000075</v>
      </c>
      <c r="B77" s="5" t="str">
        <f>IFERROR(__xludf.DUMMYFUNCTION("""COMPUTED_VALUE"""),"Putrasilaban691@gmail.com")</f>
        <v>Putrasilaban691@gmail.com</v>
      </c>
      <c r="C77" s="3">
        <v>123123.0</v>
      </c>
      <c r="D77" s="3" t="s">
        <v>8</v>
      </c>
      <c r="E77" s="3" t="s">
        <v>9</v>
      </c>
      <c r="F77" s="3" t="s">
        <v>10</v>
      </c>
      <c r="H77" s="4"/>
    </row>
    <row r="78">
      <c r="A78" s="5" t="str">
        <f>IFERROR(__xludf.DUMMYFUNCTION("""COMPUTED_VALUE"""),"DBP01000076")</f>
        <v>DBP01000076</v>
      </c>
      <c r="B78" s="5" t="str">
        <f>IFERROR(__xludf.DUMMYFUNCTION("""COMPUTED_VALUE"""),"suparmanwakidi.s.ak@gmail.com")</f>
        <v>suparmanwakidi.s.ak@gmail.com</v>
      </c>
      <c r="C78" s="3">
        <v>123123.0</v>
      </c>
      <c r="D78" s="3" t="s">
        <v>8</v>
      </c>
      <c r="E78" s="3" t="s">
        <v>9</v>
      </c>
      <c r="F78" s="3" t="s">
        <v>10</v>
      </c>
    </row>
    <row r="79">
      <c r="A79" s="5" t="str">
        <f>IFERROR(__xludf.DUMMYFUNCTION("""COMPUTED_VALUE"""),"DBP01000077")</f>
        <v>DBP01000077</v>
      </c>
      <c r="B79" s="5" t="str">
        <f>IFERROR(__xludf.DUMMYFUNCTION("""COMPUTED_VALUE"""),"dwipras88@gmail.com")</f>
        <v>dwipras88@gmail.com</v>
      </c>
      <c r="C79" s="3">
        <v>123123.0</v>
      </c>
      <c r="D79" s="3" t="s">
        <v>8</v>
      </c>
      <c r="E79" s="3" t="s">
        <v>9</v>
      </c>
      <c r="F79" s="3" t="s">
        <v>10</v>
      </c>
    </row>
    <row r="80">
      <c r="A80" s="5" t="str">
        <f>IFERROR(__xludf.DUMMYFUNCTION("""COMPUTED_VALUE"""),"DBP01000078")</f>
        <v>DBP01000078</v>
      </c>
      <c r="B80" s="5" t="str">
        <f>IFERROR(__xludf.DUMMYFUNCTION("""COMPUTED_VALUE"""),"budidennn@gmail.com")</f>
        <v>budidennn@gmail.com</v>
      </c>
      <c r="C80" s="3">
        <v>123123.0</v>
      </c>
      <c r="D80" s="3" t="s">
        <v>8</v>
      </c>
      <c r="E80" s="3" t="s">
        <v>9</v>
      </c>
      <c r="F80" s="3" t="s">
        <v>10</v>
      </c>
    </row>
    <row r="81">
      <c r="A81" s="5" t="str">
        <f>IFERROR(__xludf.DUMMYFUNCTION("""COMPUTED_VALUE"""),"DBP01000079")</f>
        <v>DBP01000079</v>
      </c>
      <c r="B81" s="5" t="str">
        <f>IFERROR(__xludf.DUMMYFUNCTION("""COMPUTED_VALUE"""),"rizqullahrifqi22@gmail.com")</f>
        <v>rizqullahrifqi22@gmail.com</v>
      </c>
      <c r="C81" s="3">
        <v>123123.0</v>
      </c>
      <c r="D81" s="3" t="s">
        <v>8</v>
      </c>
      <c r="E81" s="3" t="s">
        <v>9</v>
      </c>
      <c r="F81" s="3" t="s">
        <v>10</v>
      </c>
    </row>
    <row r="82">
      <c r="A82" s="5" t="str">
        <f>IFERROR(__xludf.DUMMYFUNCTION("""COMPUTED_VALUE"""),"DBP02000080")</f>
        <v>DBP02000080</v>
      </c>
      <c r="B82" s="5" t="str">
        <f>IFERROR(__xludf.DUMMYFUNCTION("""COMPUTED_VALUE"""),"adibardianto21@gmail.com")</f>
        <v>adibardianto21@gmail.com</v>
      </c>
      <c r="C82" s="3">
        <v>222222.0</v>
      </c>
      <c r="D82" s="3" t="s">
        <v>8</v>
      </c>
      <c r="E82" s="3" t="s">
        <v>9</v>
      </c>
      <c r="F82" s="3" t="s">
        <v>10</v>
      </c>
    </row>
    <row r="83">
      <c r="A83" s="5" t="str">
        <f>IFERROR(__xludf.DUMMYFUNCTION("""COMPUTED_VALUE"""),"DBP02000081")</f>
        <v>DBP02000081</v>
      </c>
      <c r="B83" s="5" t="str">
        <f>IFERROR(__xludf.DUMMYFUNCTION("""COMPUTED_VALUE"""),"edwin.setiawan26@gmail.com")</f>
        <v>edwin.setiawan26@gmail.com</v>
      </c>
      <c r="C83" s="3">
        <v>222222.0</v>
      </c>
      <c r="D83" s="3" t="s">
        <v>8</v>
      </c>
      <c r="E83" s="3" t="s">
        <v>9</v>
      </c>
      <c r="F83" s="3" t="s">
        <v>10</v>
      </c>
    </row>
    <row r="84">
      <c r="A84" s="5" t="str">
        <f>IFERROR(__xludf.DUMMYFUNCTION("""COMPUTED_VALUE"""),"DBP02000082")</f>
        <v>DBP02000082</v>
      </c>
      <c r="B84" s="5" t="str">
        <f>IFERROR(__xludf.DUMMYFUNCTION("""COMPUTED_VALUE"""),"ndawindahayati@gmail.com")</f>
        <v>ndawindahayati@gmail.com</v>
      </c>
      <c r="C84" s="3">
        <v>222222.0</v>
      </c>
      <c r="D84" s="3" t="s">
        <v>8</v>
      </c>
      <c r="E84" s="3" t="s">
        <v>9</v>
      </c>
      <c r="F84" s="3" t="s">
        <v>10</v>
      </c>
    </row>
    <row r="85">
      <c r="A85" s="5" t="str">
        <f>IFERROR(__xludf.DUMMYFUNCTION("""COMPUTED_VALUE"""),"DBP02000083")</f>
        <v>DBP02000083</v>
      </c>
      <c r="B85" s="5" t="str">
        <f>IFERROR(__xludf.DUMMYFUNCTION("""COMPUTED_VALUE"""),"ikadwiyulita@gmail.com")</f>
        <v>ikadwiyulita@gmail.com</v>
      </c>
      <c r="C85" s="3">
        <v>222222.0</v>
      </c>
      <c r="D85" s="3" t="s">
        <v>8</v>
      </c>
      <c r="E85" s="3" t="s">
        <v>9</v>
      </c>
      <c r="F85" s="3" t="s">
        <v>10</v>
      </c>
    </row>
    <row r="86">
      <c r="A86" s="5" t="str">
        <f>IFERROR(__xludf.DUMMYFUNCTION("""COMPUTED_VALUE"""),"DBP02000084")</f>
        <v>DBP02000084</v>
      </c>
      <c r="B86" s="5" t="str">
        <f>IFERROR(__xludf.DUMMYFUNCTION("""COMPUTED_VALUE"""),"ekosuhadinata4312@gmail.com")</f>
        <v>ekosuhadinata4312@gmail.com</v>
      </c>
      <c r="C86" s="3">
        <v>222222.0</v>
      </c>
      <c r="D86" s="3" t="s">
        <v>8</v>
      </c>
      <c r="E86" s="3" t="s">
        <v>9</v>
      </c>
      <c r="F86" s="3" t="s">
        <v>10</v>
      </c>
    </row>
    <row r="87">
      <c r="A87" s="5" t="str">
        <f>IFERROR(__xludf.DUMMYFUNCTION("""COMPUTED_VALUE"""),"DBP02000085")</f>
        <v>DBP02000085</v>
      </c>
      <c r="B87" s="5" t="str">
        <f>IFERROR(__xludf.DUMMYFUNCTION("""COMPUTED_VALUE"""),"wibowoaris297@gmail.com")</f>
        <v>wibowoaris297@gmail.com</v>
      </c>
      <c r="C87" s="3">
        <v>222222.0</v>
      </c>
      <c r="D87" s="3" t="s">
        <v>8</v>
      </c>
      <c r="E87" s="3" t="s">
        <v>9</v>
      </c>
      <c r="F87" s="3" t="s">
        <v>10</v>
      </c>
    </row>
    <row r="88">
      <c r="A88" s="5" t="str">
        <f>IFERROR(__xludf.DUMMYFUNCTION("""COMPUTED_VALUE"""),"DBP02000086")</f>
        <v>DBP02000086</v>
      </c>
      <c r="B88" s="5" t="str">
        <f>IFERROR(__xludf.DUMMYFUNCTION("""COMPUTED_VALUE"""),"muziebmulyana@gmail.com")</f>
        <v>muziebmulyana@gmail.com</v>
      </c>
      <c r="C88" s="3">
        <v>222222.0</v>
      </c>
      <c r="D88" s="3" t="s">
        <v>8</v>
      </c>
      <c r="E88" s="3" t="s">
        <v>9</v>
      </c>
      <c r="F88" s="3" t="s">
        <v>10</v>
      </c>
    </row>
    <row r="89">
      <c r="A89" s="5" t="str">
        <f>IFERROR(__xludf.DUMMYFUNCTION("""COMPUTED_VALUE"""),"DBP02000087")</f>
        <v>DBP02000087</v>
      </c>
      <c r="B89" s="5" t="str">
        <f>IFERROR(__xludf.DUMMYFUNCTION("""COMPUTED_VALUE"""),"sabamm31@gmail.com")</f>
        <v>sabamm31@gmail.com</v>
      </c>
      <c r="C89" s="3">
        <v>222222.0</v>
      </c>
      <c r="D89" s="3" t="s">
        <v>8</v>
      </c>
      <c r="E89" s="3" t="s">
        <v>9</v>
      </c>
      <c r="F89" s="3" t="s">
        <v>10</v>
      </c>
    </row>
    <row r="90">
      <c r="A90" s="5" t="str">
        <f>IFERROR(__xludf.DUMMYFUNCTION("""COMPUTED_VALUE"""),"DBP02000088")</f>
        <v>DBP02000088</v>
      </c>
      <c r="B90" s="5" t="str">
        <f>IFERROR(__xludf.DUMMYFUNCTION("""COMPUTED_VALUE"""),"delidelmonte@gmail.com")</f>
        <v>delidelmonte@gmail.com</v>
      </c>
      <c r="C90" s="3">
        <v>222222.0</v>
      </c>
      <c r="D90" s="3" t="s">
        <v>8</v>
      </c>
      <c r="E90" s="3" t="s">
        <v>9</v>
      </c>
      <c r="F90" s="3" t="s">
        <v>10</v>
      </c>
    </row>
    <row r="91">
      <c r="A91" s="5" t="str">
        <f>IFERROR(__xludf.DUMMYFUNCTION("""COMPUTED_VALUE"""),"DBP02000089")</f>
        <v>DBP02000089</v>
      </c>
      <c r="B91" s="5" t="str">
        <f>IFERROR(__xludf.DUMMYFUNCTION("""COMPUTED_VALUE"""),"alifyaarahmanita@gmail.com")</f>
        <v>alifyaarahmanita@gmail.com</v>
      </c>
      <c r="C91" s="3">
        <v>222222.0</v>
      </c>
      <c r="D91" s="3" t="s">
        <v>8</v>
      </c>
      <c r="E91" s="3" t="s">
        <v>9</v>
      </c>
      <c r="F91" s="3" t="s">
        <v>10</v>
      </c>
    </row>
    <row r="92">
      <c r="A92" s="5" t="str">
        <f>IFERROR(__xludf.DUMMYFUNCTION("""COMPUTED_VALUE"""),"DBP02000090")</f>
        <v>DBP02000090</v>
      </c>
      <c r="B92" s="5" t="str">
        <f>IFERROR(__xludf.DUMMYFUNCTION("""COMPUTED_VALUE"""),"hanafakhrani.hf@gmail.com")</f>
        <v>hanafakhrani.hf@gmail.com</v>
      </c>
      <c r="C92" s="3">
        <v>222222.0</v>
      </c>
      <c r="D92" s="3" t="s">
        <v>8</v>
      </c>
      <c r="E92" s="3" t="s">
        <v>9</v>
      </c>
      <c r="F92" s="3" t="s">
        <v>10</v>
      </c>
    </row>
    <row r="93">
      <c r="A93" s="5" t="str">
        <f>IFERROR(__xludf.DUMMYFUNCTION("""COMPUTED_VALUE"""),"DBP02000091")</f>
        <v>DBP02000091</v>
      </c>
      <c r="B93" s="5" t="str">
        <f>IFERROR(__xludf.DUMMYFUNCTION("""COMPUTED_VALUE"""),"sakinahsalma.zhrh@gmail.com")</f>
        <v>sakinahsalma.zhrh@gmail.com</v>
      </c>
      <c r="C93" s="3">
        <v>222222.0</v>
      </c>
      <c r="D93" s="3" t="s">
        <v>8</v>
      </c>
      <c r="E93" s="3" t="s">
        <v>9</v>
      </c>
      <c r="F93" s="3" t="s">
        <v>10</v>
      </c>
    </row>
    <row r="94">
      <c r="A94" s="5" t="str">
        <f>IFERROR(__xludf.DUMMYFUNCTION("""COMPUTED_VALUE"""),"DBP02000092")</f>
        <v>DBP02000092</v>
      </c>
      <c r="B94" s="5" t="str">
        <f>IFERROR(__xludf.DUMMYFUNCTION("""COMPUTED_VALUE"""),"astridamalya@gmail.com")</f>
        <v>astridamalya@gmail.com</v>
      </c>
      <c r="C94" s="3">
        <v>222222.0</v>
      </c>
      <c r="D94" s="3" t="s">
        <v>8</v>
      </c>
      <c r="E94" s="3" t="s">
        <v>9</v>
      </c>
      <c r="F94" s="3" t="s">
        <v>10</v>
      </c>
    </row>
    <row r="95">
      <c r="A95" s="5" t="str">
        <f>IFERROR(__xludf.DUMMYFUNCTION("""COMPUTED_VALUE"""),"DBP02000093")</f>
        <v>DBP02000093</v>
      </c>
      <c r="B95" s="5" t="str">
        <f>IFERROR(__xludf.DUMMYFUNCTION("""COMPUTED_VALUE"""),"adhazuanm@gmail.com")</f>
        <v>adhazuanm@gmail.com</v>
      </c>
      <c r="C95" s="3">
        <v>222222.0</v>
      </c>
      <c r="D95" s="3" t="s">
        <v>8</v>
      </c>
      <c r="E95" s="3" t="s">
        <v>9</v>
      </c>
      <c r="F95" s="3" t="s">
        <v>10</v>
      </c>
    </row>
    <row r="96">
      <c r="A96" s="5" t="str">
        <f>IFERROR(__xludf.DUMMYFUNCTION("""COMPUTED_VALUE"""),"DBP02000094")</f>
        <v>DBP02000094</v>
      </c>
      <c r="B96" s="5" t="str">
        <f>IFERROR(__xludf.DUMMYFUNCTION("""COMPUTED_VALUE"""),"vregita1@gmail.com")</f>
        <v>vregita1@gmail.com</v>
      </c>
      <c r="C96" s="3">
        <v>222222.0</v>
      </c>
      <c r="D96" s="3" t="s">
        <v>8</v>
      </c>
      <c r="E96" s="3" t="s">
        <v>9</v>
      </c>
      <c r="F96" s="3" t="s">
        <v>10</v>
      </c>
    </row>
    <row r="97">
      <c r="A97" s="5" t="str">
        <f>IFERROR(__xludf.DUMMYFUNCTION("""COMPUTED_VALUE"""),"DBP02000095")</f>
        <v>DBP02000095</v>
      </c>
      <c r="B97" s="5" t="str">
        <f>IFERROR(__xludf.DUMMYFUNCTION("""COMPUTED_VALUE"""),"amalliaup@gmail.com")</f>
        <v>amalliaup@gmail.com</v>
      </c>
      <c r="C97" s="3">
        <v>222222.0</v>
      </c>
      <c r="D97" s="3" t="s">
        <v>8</v>
      </c>
      <c r="E97" s="3" t="s">
        <v>9</v>
      </c>
      <c r="F97" s="3" t="s">
        <v>10</v>
      </c>
    </row>
    <row r="98">
      <c r="A98" s="5" t="str">
        <f>IFERROR(__xludf.DUMMYFUNCTION("""COMPUTED_VALUE"""),"DBP02000096")</f>
        <v>DBP02000096</v>
      </c>
      <c r="B98" s="5" t="str">
        <f>IFERROR(__xludf.DUMMYFUNCTION("""COMPUTED_VALUE"""),"muhammadfadli.muslimin@gmail.com")</f>
        <v>muhammadfadli.muslimin@gmail.com</v>
      </c>
      <c r="C98" s="3">
        <v>222222.0</v>
      </c>
      <c r="D98" s="3" t="s">
        <v>8</v>
      </c>
      <c r="E98" s="3" t="s">
        <v>9</v>
      </c>
      <c r="F98" s="3" t="s">
        <v>10</v>
      </c>
    </row>
    <row r="99">
      <c r="A99" s="5" t="str">
        <f>IFERROR(__xludf.DUMMYFUNCTION("""COMPUTED_VALUE"""),"DBP02000097")</f>
        <v>DBP02000097</v>
      </c>
      <c r="B99" s="5" t="str">
        <f>IFERROR(__xludf.DUMMYFUNCTION("""COMPUTED_VALUE"""),"rizkiashuripratama45@gmail.com")</f>
        <v>rizkiashuripratama45@gmail.com</v>
      </c>
      <c r="C99" s="3">
        <v>222222.0</v>
      </c>
      <c r="D99" s="3" t="s">
        <v>8</v>
      </c>
      <c r="E99" s="3" t="s">
        <v>9</v>
      </c>
      <c r="F99" s="3" t="s">
        <v>10</v>
      </c>
    </row>
    <row r="100">
      <c r="A100" s="5" t="str">
        <f>IFERROR(__xludf.DUMMYFUNCTION("""COMPUTED_VALUE"""),"DBP02000098")</f>
        <v>DBP02000098</v>
      </c>
      <c r="B100" s="5" t="str">
        <f>IFERROR(__xludf.DUMMYFUNCTION("""COMPUTED_VALUE"""),"naramia1693@gmail.com")</f>
        <v>naramia1693@gmail.com</v>
      </c>
      <c r="C100" s="3">
        <v>222222.0</v>
      </c>
      <c r="D100" s="3" t="s">
        <v>8</v>
      </c>
      <c r="E100" s="3" t="s">
        <v>9</v>
      </c>
      <c r="F100" s="3" t="s">
        <v>10</v>
      </c>
    </row>
    <row r="101">
      <c r="A101" s="5" t="str">
        <f>IFERROR(__xludf.DUMMYFUNCTION("""COMPUTED_VALUE"""),"DBP02000099")</f>
        <v>DBP02000099</v>
      </c>
      <c r="B101" s="5" t="str">
        <f>IFERROR(__xludf.DUMMYFUNCTION("""COMPUTED_VALUE"""),"halimkusuma.wijayaakbar@gmail.com")</f>
        <v>halimkusuma.wijayaakbar@gmail.com</v>
      </c>
      <c r="C101" s="3">
        <v>222222.0</v>
      </c>
      <c r="D101" s="3" t="s">
        <v>8</v>
      </c>
      <c r="E101" s="3" t="s">
        <v>9</v>
      </c>
      <c r="F101" s="3" t="s">
        <v>10</v>
      </c>
    </row>
    <row r="102">
      <c r="A102" s="5" t="str">
        <f>IFERROR(__xludf.DUMMYFUNCTION("""COMPUTED_VALUE"""),"DBP02000100")</f>
        <v>DBP02000100</v>
      </c>
      <c r="B102" s="5" t="str">
        <f>IFERROR(__xludf.DUMMYFUNCTION("""COMPUTED_VALUE"""),"yorapingkan4979@gmail.com")</f>
        <v>yorapingkan4979@gmail.com</v>
      </c>
      <c r="C102" s="3">
        <v>222222.0</v>
      </c>
      <c r="D102" s="3" t="s">
        <v>8</v>
      </c>
      <c r="E102" s="3" t="s">
        <v>9</v>
      </c>
      <c r="F102" s="3" t="s">
        <v>10</v>
      </c>
    </row>
    <row r="103">
      <c r="A103" s="5" t="str">
        <f>IFERROR(__xludf.DUMMYFUNCTION("""COMPUTED_VALUE"""),"DBP02000101")</f>
        <v>DBP02000101</v>
      </c>
      <c r="B103" s="5" t="str">
        <f>IFERROR(__xludf.DUMMYFUNCTION("""COMPUTED_VALUE"""),"kamalulwafi.fika@gmail.com")</f>
        <v>kamalulwafi.fika@gmail.com</v>
      </c>
      <c r="C103" s="3">
        <v>222222.0</v>
      </c>
      <c r="D103" s="3" t="s">
        <v>8</v>
      </c>
      <c r="E103" s="3" t="s">
        <v>9</v>
      </c>
      <c r="F103" s="3" t="s">
        <v>10</v>
      </c>
    </row>
    <row r="104">
      <c r="A104" s="5" t="str">
        <f>IFERROR(__xludf.DUMMYFUNCTION("""COMPUTED_VALUE"""),"DBP02000102")</f>
        <v>DBP02000102</v>
      </c>
      <c r="B104" s="5" t="str">
        <f>IFERROR(__xludf.DUMMYFUNCTION("""COMPUTED_VALUE"""),"handiyudianto172@gmail.com")</f>
        <v>handiyudianto172@gmail.com</v>
      </c>
      <c r="C104" s="3">
        <v>222222.0</v>
      </c>
      <c r="D104" s="3" t="s">
        <v>8</v>
      </c>
      <c r="E104" s="3" t="s">
        <v>9</v>
      </c>
      <c r="F104" s="3" t="s">
        <v>10</v>
      </c>
    </row>
    <row r="105">
      <c r="A105" s="5" t="str">
        <f>IFERROR(__xludf.DUMMYFUNCTION("""COMPUTED_VALUE"""),"DBP02000103")</f>
        <v>DBP02000103</v>
      </c>
      <c r="B105" s="5" t="str">
        <f>IFERROR(__xludf.DUMMYFUNCTION("""COMPUTED_VALUE"""),"adinawidiastuti2@gmail.com")</f>
        <v>adinawidiastuti2@gmail.com</v>
      </c>
      <c r="C105" s="3">
        <v>222222.0</v>
      </c>
      <c r="D105" s="3" t="s">
        <v>8</v>
      </c>
      <c r="E105" s="3" t="s">
        <v>9</v>
      </c>
      <c r="F105" s="3" t="s">
        <v>10</v>
      </c>
    </row>
    <row r="106">
      <c r="A106" s="5" t="str">
        <f>IFERROR(__xludf.DUMMYFUNCTION("""COMPUTED_VALUE"""),"DBP02000104")</f>
        <v>DBP02000104</v>
      </c>
      <c r="B106" s="5" t="str">
        <f>IFERROR(__xludf.DUMMYFUNCTION("""COMPUTED_VALUE"""),"wimbazain@gmail.com")</f>
        <v>wimbazain@gmail.com</v>
      </c>
      <c r="C106" s="3">
        <v>222222.0</v>
      </c>
      <c r="D106" s="3" t="s">
        <v>8</v>
      </c>
      <c r="E106" s="3" t="s">
        <v>9</v>
      </c>
      <c r="F106" s="3" t="s">
        <v>10</v>
      </c>
    </row>
    <row r="107">
      <c r="A107" s="5" t="str">
        <f>IFERROR(__xludf.DUMMYFUNCTION("""COMPUTED_VALUE"""),"DBP02000105")</f>
        <v>DBP02000105</v>
      </c>
      <c r="B107" s="5" t="str">
        <f>IFERROR(__xludf.DUMMYFUNCTION("""COMPUTED_VALUE"""),"dhibreevan@gmail.com")</f>
        <v>dhibreevan@gmail.com</v>
      </c>
      <c r="C107" s="3">
        <v>222222.0</v>
      </c>
      <c r="D107" s="3" t="s">
        <v>8</v>
      </c>
      <c r="E107" s="3" t="s">
        <v>9</v>
      </c>
      <c r="F107" s="3" t="s">
        <v>10</v>
      </c>
    </row>
    <row r="108">
      <c r="A108" s="5" t="str">
        <f>IFERROR(__xludf.DUMMYFUNCTION("""COMPUTED_VALUE"""),"DBP02000106")</f>
        <v>DBP02000106</v>
      </c>
      <c r="B108" s="5" t="str">
        <f>IFERROR(__xludf.DUMMYFUNCTION("""COMPUTED_VALUE"""),"kennedy.sumarlie@gmail.com")</f>
        <v>kennedy.sumarlie@gmail.com</v>
      </c>
      <c r="C108" s="3">
        <v>222222.0</v>
      </c>
      <c r="D108" s="3" t="s">
        <v>8</v>
      </c>
      <c r="E108" s="3" t="s">
        <v>9</v>
      </c>
      <c r="F108" s="3" t="s">
        <v>10</v>
      </c>
    </row>
    <row r="109">
      <c r="A109" s="5" t="str">
        <f>IFERROR(__xludf.DUMMYFUNCTION("""COMPUTED_VALUE"""),"DBP02000107")</f>
        <v>DBP02000107</v>
      </c>
      <c r="B109" s="5" t="str">
        <f>IFERROR(__xludf.DUMMYFUNCTION("""COMPUTED_VALUE"""),"angelyunisari29@gmail.com")</f>
        <v>angelyunisari29@gmail.com</v>
      </c>
      <c r="C109" s="3">
        <v>222222.0</v>
      </c>
      <c r="D109" s="3" t="s">
        <v>8</v>
      </c>
      <c r="E109" s="3" t="s">
        <v>9</v>
      </c>
      <c r="F109" s="3" t="s">
        <v>10</v>
      </c>
    </row>
    <row r="110">
      <c r="A110" s="5" t="str">
        <f>IFERROR(__xludf.DUMMYFUNCTION("""COMPUTED_VALUE"""),"DBP02000108")</f>
        <v>DBP02000108</v>
      </c>
      <c r="B110" s="5" t="str">
        <f>IFERROR(__xludf.DUMMYFUNCTION("""COMPUTED_VALUE"""),"nouvaldiva03@gmail.com")</f>
        <v>nouvaldiva03@gmail.com</v>
      </c>
      <c r="C110" s="3">
        <v>222222.0</v>
      </c>
      <c r="D110" s="3" t="s">
        <v>8</v>
      </c>
      <c r="E110" s="3" t="s">
        <v>9</v>
      </c>
      <c r="F110" s="3" t="s">
        <v>10</v>
      </c>
    </row>
    <row r="111">
      <c r="A111" s="5" t="str">
        <f>IFERROR(__xludf.DUMMYFUNCTION("""COMPUTED_VALUE"""),"DBP02000109")</f>
        <v>DBP02000109</v>
      </c>
      <c r="B111" s="5" t="str">
        <f>IFERROR(__xludf.DUMMYFUNCTION("""COMPUTED_VALUE"""),"airlanggamargaliu@gmail.com")</f>
        <v>airlanggamargaliu@gmail.com</v>
      </c>
      <c r="C111" s="3">
        <v>222222.0</v>
      </c>
      <c r="D111" s="3" t="s">
        <v>8</v>
      </c>
      <c r="E111" s="3" t="s">
        <v>9</v>
      </c>
      <c r="F111" s="3" t="s">
        <v>10</v>
      </c>
    </row>
    <row r="112">
      <c r="A112" s="5" t="str">
        <f>IFERROR(__xludf.DUMMYFUNCTION("""COMPUTED_VALUE"""),"DBP02000110")</f>
        <v>DBP02000110</v>
      </c>
      <c r="B112" s="5" t="str">
        <f>IFERROR(__xludf.DUMMYFUNCTION("""COMPUTED_VALUE"""),"officialreza16@gmail.com")</f>
        <v>officialreza16@gmail.com</v>
      </c>
      <c r="C112" s="3">
        <v>222222.0</v>
      </c>
      <c r="D112" s="3" t="s">
        <v>8</v>
      </c>
      <c r="E112" s="3" t="s">
        <v>9</v>
      </c>
      <c r="F112" s="3" t="s">
        <v>10</v>
      </c>
    </row>
    <row r="113">
      <c r="A113" s="5" t="str">
        <f>IFERROR(__xludf.DUMMYFUNCTION("""COMPUTED_VALUE"""),"DBP02000111")</f>
        <v>DBP02000111</v>
      </c>
      <c r="B113" s="5" t="str">
        <f>IFERROR(__xludf.DUMMYFUNCTION("""COMPUTED_VALUE"""),"yusrilahmadyusro@gmail.com")</f>
        <v>yusrilahmadyusro@gmail.com</v>
      </c>
      <c r="C113" s="3">
        <v>222222.0</v>
      </c>
      <c r="D113" s="3" t="s">
        <v>8</v>
      </c>
      <c r="E113" s="3" t="s">
        <v>9</v>
      </c>
      <c r="F113" s="3" t="s">
        <v>10</v>
      </c>
    </row>
    <row r="114">
      <c r="A114" s="5" t="str">
        <f>IFERROR(__xludf.DUMMYFUNCTION("""COMPUTED_VALUE"""),"DBP02000112")</f>
        <v>DBP02000112</v>
      </c>
      <c r="B114" s="5" t="str">
        <f>IFERROR(__xludf.DUMMYFUNCTION("""COMPUTED_VALUE"""),"wawan04@gmail.com")</f>
        <v>wawan04@gmail.com</v>
      </c>
      <c r="C114" s="3">
        <v>222222.0</v>
      </c>
      <c r="D114" s="3" t="s">
        <v>8</v>
      </c>
      <c r="E114" s="3" t="s">
        <v>9</v>
      </c>
      <c r="F114" s="3" t="s">
        <v>10</v>
      </c>
    </row>
    <row r="115">
      <c r="A115" s="5" t="str">
        <f>IFERROR(__xludf.DUMMYFUNCTION("""COMPUTED_VALUE"""),"DBP02000113")</f>
        <v>DBP02000113</v>
      </c>
      <c r="B115" s="5" t="str">
        <f>IFERROR(__xludf.DUMMYFUNCTION("""COMPUTED_VALUE"""),"denaldoalfando@gmail.com")</f>
        <v>denaldoalfando@gmail.com</v>
      </c>
      <c r="C115" s="3">
        <v>222222.0</v>
      </c>
      <c r="D115" s="3" t="s">
        <v>8</v>
      </c>
      <c r="E115" s="3" t="s">
        <v>9</v>
      </c>
      <c r="F115" s="3" t="s">
        <v>10</v>
      </c>
    </row>
    <row r="116">
      <c r="A116" s="5" t="str">
        <f>IFERROR(__xludf.DUMMYFUNCTION("""COMPUTED_VALUE"""),"DBP02000114")</f>
        <v>DBP02000114</v>
      </c>
      <c r="B116" s="5" t="str">
        <f>IFERROR(__xludf.DUMMYFUNCTION("""COMPUTED_VALUE"""),"charleshutagalung5@gmail.com")</f>
        <v>charleshutagalung5@gmail.com</v>
      </c>
      <c r="C116" s="3">
        <v>222222.0</v>
      </c>
      <c r="D116" s="3" t="s">
        <v>8</v>
      </c>
      <c r="E116" s="3" t="s">
        <v>9</v>
      </c>
      <c r="F116" s="3" t="s">
        <v>10</v>
      </c>
    </row>
    <row r="117">
      <c r="A117" s="5" t="str">
        <f>IFERROR(__xludf.DUMMYFUNCTION("""COMPUTED_VALUE"""),"DBP02000115")</f>
        <v>DBP02000115</v>
      </c>
      <c r="B117" s="5" t="str">
        <f>IFERROR(__xludf.DUMMYFUNCTION("""COMPUTED_VALUE"""),"hengky.soesilo@gmail.com")</f>
        <v>hengky.soesilo@gmail.com</v>
      </c>
      <c r="C117" s="3">
        <v>222222.0</v>
      </c>
      <c r="D117" s="3" t="s">
        <v>8</v>
      </c>
      <c r="E117" s="3" t="s">
        <v>9</v>
      </c>
      <c r="F117" s="3" t="s">
        <v>10</v>
      </c>
    </row>
    <row r="118">
      <c r="A118" s="5" t="str">
        <f>IFERROR(__xludf.DUMMYFUNCTION("""COMPUTED_VALUE"""),"DBP02000116")</f>
        <v>DBP02000116</v>
      </c>
      <c r="B118" s="5" t="str">
        <f>IFERROR(__xludf.DUMMYFUNCTION("""COMPUTED_VALUE"""),"firmansjahmuhammad287@gmail.com")</f>
        <v>firmansjahmuhammad287@gmail.com</v>
      </c>
      <c r="C118" s="3">
        <v>222222.0</v>
      </c>
      <c r="D118" s="3" t="s">
        <v>8</v>
      </c>
      <c r="E118" s="3" t="s">
        <v>9</v>
      </c>
      <c r="F118" s="3" t="s">
        <v>10</v>
      </c>
    </row>
    <row r="119">
      <c r="A119" s="5" t="str">
        <f>IFERROR(__xludf.DUMMYFUNCTION("""COMPUTED_VALUE"""),"DBP02000117")</f>
        <v>DBP02000117</v>
      </c>
      <c r="B119" s="5" t="str">
        <f>IFERROR(__xludf.DUMMYFUNCTION("""COMPUTED_VALUE"""),"asetiawanandri16@gmail.com")</f>
        <v>asetiawanandri16@gmail.com</v>
      </c>
      <c r="C119" s="3">
        <v>222222.0</v>
      </c>
      <c r="D119" s="3" t="s">
        <v>8</v>
      </c>
      <c r="E119" s="3" t="s">
        <v>9</v>
      </c>
      <c r="F119" s="3" t="s">
        <v>10</v>
      </c>
    </row>
    <row r="120">
      <c r="A120" s="5" t="str">
        <f>IFERROR(__xludf.DUMMYFUNCTION("""COMPUTED_VALUE"""),"DBP02000118")</f>
        <v>DBP02000118</v>
      </c>
      <c r="B120" s="5" t="str">
        <f>IFERROR(__xludf.DUMMYFUNCTION("""COMPUTED_VALUE"""),"nidathfy@gmail.com")</f>
        <v>nidathfy@gmail.com</v>
      </c>
      <c r="C120" s="3">
        <v>222222.0</v>
      </c>
      <c r="D120" s="3" t="s">
        <v>8</v>
      </c>
      <c r="E120" s="3" t="s">
        <v>9</v>
      </c>
      <c r="F120" s="3" t="s">
        <v>10</v>
      </c>
    </row>
    <row r="121">
      <c r="A121" s="5" t="str">
        <f>IFERROR(__xludf.DUMMYFUNCTION("""COMPUTED_VALUE"""),"DBP02000119")</f>
        <v>DBP02000119</v>
      </c>
      <c r="B121" s="5" t="str">
        <f>IFERROR(__xludf.DUMMYFUNCTION("""COMPUTED_VALUE"""),"wemvy.nugraha@gmail.com")</f>
        <v>wemvy.nugraha@gmail.com</v>
      </c>
      <c r="C121" s="3">
        <v>222222.0</v>
      </c>
      <c r="D121" s="3" t="s">
        <v>8</v>
      </c>
      <c r="E121" s="3" t="s">
        <v>9</v>
      </c>
      <c r="F121" s="3" t="s">
        <v>10</v>
      </c>
    </row>
    <row r="122">
      <c r="A122" s="5" t="str">
        <f>IFERROR(__xludf.DUMMYFUNCTION("""COMPUTED_VALUE"""),"DBP02000120")</f>
        <v>DBP02000120</v>
      </c>
      <c r="B122" s="5" t="str">
        <f>IFERROR(__xludf.DUMMYFUNCTION("""COMPUTED_VALUE"""),"zinnenninaads@gmail.com")</f>
        <v>zinnenninaads@gmail.com</v>
      </c>
      <c r="C122" s="3">
        <v>222222.0</v>
      </c>
      <c r="D122" s="3" t="s">
        <v>8</v>
      </c>
      <c r="E122" s="3" t="s">
        <v>9</v>
      </c>
      <c r="F122" s="3" t="s">
        <v>10</v>
      </c>
    </row>
    <row r="123">
      <c r="A123" s="5" t="str">
        <f>IFERROR(__xludf.DUMMYFUNCTION("""COMPUTED_VALUE"""),"DBP02000121")</f>
        <v>DBP02000121</v>
      </c>
      <c r="B123" s="5" t="str">
        <f>IFERROR(__xludf.DUMMYFUNCTION("""COMPUTED_VALUE"""),"christinaloviannabakara@gmail.com")</f>
        <v>christinaloviannabakara@gmail.com</v>
      </c>
      <c r="C123" s="3">
        <v>222222.0</v>
      </c>
      <c r="D123" s="3" t="s">
        <v>8</v>
      </c>
      <c r="E123" s="3" t="s">
        <v>9</v>
      </c>
      <c r="F123" s="3" t="s">
        <v>10</v>
      </c>
    </row>
    <row r="124">
      <c r="A124" s="5" t="str">
        <f>IFERROR(__xludf.DUMMYFUNCTION("""COMPUTED_VALUE"""),"DBP02000122")</f>
        <v>DBP02000122</v>
      </c>
      <c r="B124" s="5" t="str">
        <f>IFERROR(__xludf.DUMMYFUNCTION("""COMPUTED_VALUE"""),"wiraditma@gmail.com")</f>
        <v>wiraditma@gmail.com</v>
      </c>
      <c r="C124" s="3">
        <v>222222.0</v>
      </c>
      <c r="D124" s="3" t="s">
        <v>8</v>
      </c>
      <c r="E124" s="3" t="s">
        <v>9</v>
      </c>
      <c r="F124" s="3" t="s">
        <v>10</v>
      </c>
    </row>
    <row r="125">
      <c r="A125" s="5" t="str">
        <f>IFERROR(__xludf.DUMMYFUNCTION("""COMPUTED_VALUE"""),"DBP02000123")</f>
        <v>DBP02000123</v>
      </c>
      <c r="B125" s="5" t="str">
        <f>IFERROR(__xludf.DUMMYFUNCTION("""COMPUTED_VALUE"""),"saksonoagung763@gmail.com")</f>
        <v>saksonoagung763@gmail.com</v>
      </c>
      <c r="C125" s="3">
        <v>222222.0</v>
      </c>
      <c r="D125" s="3" t="s">
        <v>8</v>
      </c>
      <c r="E125" s="3" t="s">
        <v>9</v>
      </c>
      <c r="F125" s="3" t="s">
        <v>10</v>
      </c>
    </row>
    <row r="126">
      <c r="A126" s="5" t="str">
        <f>IFERROR(__xludf.DUMMYFUNCTION("""COMPUTED_VALUE"""),"DBP02000124")</f>
        <v>DBP02000124</v>
      </c>
      <c r="B126" s="5" t="str">
        <f>IFERROR(__xludf.DUMMYFUNCTION("""COMPUTED_VALUE"""),"erland.atagolo@gmail.com")</f>
        <v>erland.atagolo@gmail.com</v>
      </c>
      <c r="C126" s="3">
        <v>222222.0</v>
      </c>
      <c r="D126" s="3" t="s">
        <v>8</v>
      </c>
      <c r="E126" s="3" t="s">
        <v>9</v>
      </c>
      <c r="F126" s="3" t="s">
        <v>10</v>
      </c>
    </row>
    <row r="127">
      <c r="A127" s="5" t="str">
        <f>IFERROR(__xludf.DUMMYFUNCTION("""COMPUTED_VALUE"""),"DBP02000125")</f>
        <v>DBP02000125</v>
      </c>
      <c r="B127" s="5" t="str">
        <f>IFERROR(__xludf.DUMMYFUNCTION("""COMPUTED_VALUE"""),"na.nuranisa520@gmail.com")</f>
        <v>na.nuranisa520@gmail.com</v>
      </c>
      <c r="C127" s="3">
        <v>222222.0</v>
      </c>
      <c r="D127" s="3" t="s">
        <v>8</v>
      </c>
      <c r="E127" s="3" t="s">
        <v>9</v>
      </c>
      <c r="F127" s="3" t="s">
        <v>10</v>
      </c>
    </row>
    <row r="128">
      <c r="A128" s="5" t="str">
        <f>IFERROR(__xludf.DUMMYFUNCTION("""COMPUTED_VALUE"""),"DBP02000126")</f>
        <v>DBP02000126</v>
      </c>
      <c r="B128" s="5" t="str">
        <f>IFERROR(__xludf.DUMMYFUNCTION("""COMPUTED_VALUE"""),"odsaras@gmail.com")</f>
        <v>odsaras@gmail.com</v>
      </c>
      <c r="C128" s="3">
        <v>222222.0</v>
      </c>
      <c r="D128" s="3" t="s">
        <v>8</v>
      </c>
      <c r="E128" s="3" t="s">
        <v>9</v>
      </c>
      <c r="F128" s="3" t="s">
        <v>10</v>
      </c>
    </row>
    <row r="129">
      <c r="A129" s="5" t="str">
        <f>IFERROR(__xludf.DUMMYFUNCTION("""COMPUTED_VALUE"""),"DBP02000127")</f>
        <v>DBP02000127</v>
      </c>
      <c r="B129" s="5" t="str">
        <f>IFERROR(__xludf.DUMMYFUNCTION("""COMPUTED_VALUE"""),"marselius.aronggear19@gmail.com")</f>
        <v>marselius.aronggear19@gmail.com</v>
      </c>
      <c r="C129" s="3">
        <v>222222.0</v>
      </c>
      <c r="D129" s="3" t="s">
        <v>8</v>
      </c>
      <c r="E129" s="3" t="s">
        <v>9</v>
      </c>
      <c r="F129" s="3" t="s">
        <v>10</v>
      </c>
    </row>
    <row r="130">
      <c r="A130" s="5" t="str">
        <f>IFERROR(__xludf.DUMMYFUNCTION("""COMPUTED_VALUE"""),"DBP02000128")</f>
        <v>DBP02000128</v>
      </c>
      <c r="B130" s="5" t="str">
        <f>IFERROR(__xludf.DUMMYFUNCTION("""COMPUTED_VALUE"""),"teguhkusuma522@gmail.com")</f>
        <v>teguhkusuma522@gmail.com</v>
      </c>
      <c r="C130" s="3">
        <v>222222.0</v>
      </c>
      <c r="D130" s="3" t="s">
        <v>8</v>
      </c>
      <c r="E130" s="3" t="s">
        <v>9</v>
      </c>
      <c r="F130" s="3" t="s">
        <v>10</v>
      </c>
    </row>
    <row r="131">
      <c r="A131" s="5" t="str">
        <f>IFERROR(__xludf.DUMMYFUNCTION("""COMPUTED_VALUE"""),"DBP02000129")</f>
        <v>DBP02000129</v>
      </c>
      <c r="B131" s="5" t="str">
        <f>IFERROR(__xludf.DUMMYFUNCTION("""COMPUTED_VALUE"""),"gnacastevany@gmail.com")</f>
        <v>gnacastevany@gmail.com</v>
      </c>
      <c r="C131" s="3">
        <v>222222.0</v>
      </c>
      <c r="D131" s="3" t="s">
        <v>8</v>
      </c>
      <c r="E131" s="3" t="s">
        <v>9</v>
      </c>
      <c r="F131" s="3" t="s">
        <v>10</v>
      </c>
    </row>
    <row r="132">
      <c r="A132" s="5" t="str">
        <f>IFERROR(__xludf.DUMMYFUNCTION("""COMPUTED_VALUE"""),"DBP02000130")</f>
        <v>DBP02000130</v>
      </c>
      <c r="B132" s="5" t="str">
        <f>IFERROR(__xludf.DUMMYFUNCTION("""COMPUTED_VALUE"""),"destiarahma24@gmail.com")</f>
        <v>destiarahma24@gmail.com</v>
      </c>
      <c r="C132" s="3">
        <v>222222.0</v>
      </c>
      <c r="D132" s="3" t="s">
        <v>8</v>
      </c>
      <c r="E132" s="3" t="s">
        <v>9</v>
      </c>
      <c r="F132" s="3" t="s">
        <v>10</v>
      </c>
    </row>
    <row r="133">
      <c r="A133" s="5" t="str">
        <f>IFERROR(__xludf.DUMMYFUNCTION("""COMPUTED_VALUE"""),"DBP02000131")</f>
        <v>DBP02000131</v>
      </c>
      <c r="B133" s="5" t="str">
        <f>IFERROR(__xludf.DUMMYFUNCTION("""COMPUTED_VALUE"""),"rizkinovianda29@gmail.com")</f>
        <v>rizkinovianda29@gmail.com</v>
      </c>
      <c r="C133" s="3">
        <v>222222.0</v>
      </c>
      <c r="D133" s="3" t="s">
        <v>8</v>
      </c>
      <c r="E133" s="3" t="s">
        <v>9</v>
      </c>
      <c r="F133" s="3" t="s">
        <v>10</v>
      </c>
    </row>
    <row r="134">
      <c r="A134" s="5" t="str">
        <f>IFERROR(__xludf.DUMMYFUNCTION("""COMPUTED_VALUE"""),"DBP02000132")</f>
        <v>DBP02000132</v>
      </c>
      <c r="B134" s="5" t="str">
        <f>IFERROR(__xludf.DUMMYFUNCTION("""COMPUTED_VALUE"""),"elsyaffvk@gmail.com")</f>
        <v>elsyaffvk@gmail.com</v>
      </c>
      <c r="C134" s="3">
        <v>222222.0</v>
      </c>
      <c r="D134" s="3" t="s">
        <v>8</v>
      </c>
      <c r="E134" s="3" t="s">
        <v>9</v>
      </c>
      <c r="F134" s="3" t="s">
        <v>10</v>
      </c>
    </row>
    <row r="135">
      <c r="A135" s="5" t="str">
        <f>IFERROR(__xludf.DUMMYFUNCTION("""COMPUTED_VALUE"""),"DBP02000133")</f>
        <v>DBP02000133</v>
      </c>
      <c r="B135" s="5" t="str">
        <f>IFERROR(__xludf.DUMMYFUNCTION("""COMPUTED_VALUE"""),"ksdaffaelhaq@gmail.com")</f>
        <v>ksdaffaelhaq@gmail.com</v>
      </c>
      <c r="C135" s="3">
        <v>222222.0</v>
      </c>
      <c r="D135" s="3" t="s">
        <v>8</v>
      </c>
      <c r="E135" s="3" t="s">
        <v>9</v>
      </c>
      <c r="F135" s="3" t="s">
        <v>10</v>
      </c>
    </row>
    <row r="136">
      <c r="A136" s="5" t="str">
        <f>IFERROR(__xludf.DUMMYFUNCTION("""COMPUTED_VALUE"""),"DBP02000134")</f>
        <v>DBP02000134</v>
      </c>
      <c r="B136" s="5" t="str">
        <f>IFERROR(__xludf.DUMMYFUNCTION("""COMPUTED_VALUE"""),"zifausa@gmail.com")</f>
        <v>zifausa@gmail.com</v>
      </c>
      <c r="C136" s="3">
        <v>222222.0</v>
      </c>
      <c r="D136" s="3" t="s">
        <v>8</v>
      </c>
      <c r="E136" s="3" t="s">
        <v>9</v>
      </c>
      <c r="F136" s="3" t="s">
        <v>10</v>
      </c>
    </row>
    <row r="137">
      <c r="A137" s="5" t="str">
        <f>IFERROR(__xludf.DUMMYFUNCTION("""COMPUTED_VALUE"""),"DBP02000135")</f>
        <v>DBP02000135</v>
      </c>
      <c r="B137" s="5" t="str">
        <f>IFERROR(__xludf.DUMMYFUNCTION("""COMPUTED_VALUE"""),"anjanipurnamasr@gmail.com")</f>
        <v>anjanipurnamasr@gmail.com</v>
      </c>
      <c r="C137" s="3">
        <v>222222.0</v>
      </c>
      <c r="D137" s="3" t="s">
        <v>8</v>
      </c>
      <c r="E137" s="3" t="s">
        <v>9</v>
      </c>
      <c r="F137" s="3" t="s">
        <v>10</v>
      </c>
    </row>
    <row r="138">
      <c r="A138" s="5" t="str">
        <f>IFERROR(__xludf.DUMMYFUNCTION("""COMPUTED_VALUE"""),"DBP02000136")</f>
        <v>DBP02000136</v>
      </c>
      <c r="B138" s="5" t="str">
        <f>IFERROR(__xludf.DUMMYFUNCTION("""COMPUTED_VALUE"""),"bathien.jagaraga@gmail.com")</f>
        <v>bathien.jagaraga@gmail.com</v>
      </c>
      <c r="C138" s="3">
        <v>222222.0</v>
      </c>
      <c r="D138" s="3" t="s">
        <v>8</v>
      </c>
      <c r="E138" s="3" t="s">
        <v>9</v>
      </c>
      <c r="F138" s="3" t="s">
        <v>10</v>
      </c>
    </row>
    <row r="139">
      <c r="A139" s="5" t="str">
        <f>IFERROR(__xludf.DUMMYFUNCTION("""COMPUTED_VALUE"""),"DBP02000137")</f>
        <v>DBP02000137</v>
      </c>
      <c r="B139" s="5" t="str">
        <f>IFERROR(__xludf.DUMMYFUNCTION("""COMPUTED_VALUE"""),"sugiantari.radhani@gmail.com")</f>
        <v>sugiantari.radhani@gmail.com</v>
      </c>
      <c r="C139" s="3">
        <v>222222.0</v>
      </c>
      <c r="D139" s="3" t="s">
        <v>8</v>
      </c>
      <c r="E139" s="3" t="s">
        <v>9</v>
      </c>
      <c r="F139" s="3" t="s">
        <v>10</v>
      </c>
    </row>
    <row r="140">
      <c r="A140" s="5" t="str">
        <f>IFERROR(__xludf.DUMMYFUNCTION("""COMPUTED_VALUE"""),"DBP02000138")</f>
        <v>DBP02000138</v>
      </c>
      <c r="B140" s="5" t="str">
        <f>IFERROR(__xludf.DUMMYFUNCTION("""COMPUTED_VALUE"""),"hellenrebecca60@gmail.com")</f>
        <v>hellenrebecca60@gmail.com</v>
      </c>
      <c r="C140" s="3">
        <v>222222.0</v>
      </c>
      <c r="D140" s="3" t="s">
        <v>8</v>
      </c>
      <c r="E140" s="3" t="s">
        <v>9</v>
      </c>
      <c r="F140" s="3" t="s">
        <v>10</v>
      </c>
    </row>
    <row r="141">
      <c r="A141" s="5" t="str">
        <f>IFERROR(__xludf.DUMMYFUNCTION("""COMPUTED_VALUE"""),"DBP02000139")</f>
        <v>DBP02000139</v>
      </c>
      <c r="B141" s="5" t="str">
        <f>IFERROR(__xludf.DUMMYFUNCTION("""COMPUTED_VALUE"""),"evando.josano@gmail.com")</f>
        <v>evando.josano@gmail.com</v>
      </c>
      <c r="C141" s="3">
        <v>222222.0</v>
      </c>
      <c r="D141" s="3" t="s">
        <v>8</v>
      </c>
      <c r="E141" s="3" t="s">
        <v>9</v>
      </c>
      <c r="F141" s="3" t="s">
        <v>10</v>
      </c>
    </row>
    <row r="142">
      <c r="A142" s="5" t="str">
        <f>IFERROR(__xludf.DUMMYFUNCTION("""COMPUTED_VALUE"""),"DBP02000140")</f>
        <v>DBP02000140</v>
      </c>
      <c r="B142" s="5" t="str">
        <f>IFERROR(__xludf.DUMMYFUNCTION("""COMPUTED_VALUE"""),"kadekhapsari98@gmail.com")</f>
        <v>kadekhapsari98@gmail.com</v>
      </c>
      <c r="C142" s="3">
        <v>222222.0</v>
      </c>
      <c r="D142" s="3" t="s">
        <v>8</v>
      </c>
      <c r="E142" s="3" t="s">
        <v>9</v>
      </c>
      <c r="F142" s="3" t="s">
        <v>10</v>
      </c>
    </row>
    <row r="143">
      <c r="A143" s="5" t="str">
        <f>IFERROR(__xludf.DUMMYFUNCTION("""COMPUTED_VALUE"""),"DBP02000141")</f>
        <v>DBP02000141</v>
      </c>
      <c r="B143" s="5" t="str">
        <f>IFERROR(__xludf.DUMMYFUNCTION("""COMPUTED_VALUE"""),"yusufrafsanjani002@gmail.com")</f>
        <v>yusufrafsanjani002@gmail.com</v>
      </c>
      <c r="C143" s="3">
        <v>222222.0</v>
      </c>
      <c r="D143" s="3" t="s">
        <v>8</v>
      </c>
      <c r="E143" s="3" t="s">
        <v>9</v>
      </c>
      <c r="F143" s="3" t="s">
        <v>10</v>
      </c>
    </row>
    <row r="144">
      <c r="A144" s="5" t="str">
        <f>IFERROR(__xludf.DUMMYFUNCTION("""COMPUTED_VALUE"""),"DBP02000142")</f>
        <v>DBP02000142</v>
      </c>
      <c r="B144" s="5" t="str">
        <f>IFERROR(__xludf.DUMMYFUNCTION("""COMPUTED_VALUE"""),"gemamuharam61@gmail.com")</f>
        <v>gemamuharam61@gmail.com</v>
      </c>
      <c r="C144" s="3">
        <v>222222.0</v>
      </c>
      <c r="D144" s="3" t="s">
        <v>8</v>
      </c>
      <c r="E144" s="3" t="s">
        <v>9</v>
      </c>
      <c r="F144" s="3" t="s">
        <v>10</v>
      </c>
    </row>
    <row r="145">
      <c r="A145" s="5" t="str">
        <f>IFERROR(__xludf.DUMMYFUNCTION("""COMPUTED_VALUE"""),"DBP02000143")</f>
        <v>DBP02000143</v>
      </c>
      <c r="B145" s="5" t="str">
        <f>IFERROR(__xludf.DUMMYFUNCTION("""COMPUTED_VALUE"""),"uutiakhairia01@gmail.com")</f>
        <v>uutiakhairia01@gmail.com</v>
      </c>
      <c r="C145" s="3">
        <v>222222.0</v>
      </c>
      <c r="D145" s="3" t="s">
        <v>8</v>
      </c>
      <c r="E145" s="3" t="s">
        <v>9</v>
      </c>
      <c r="F145" s="3" t="s">
        <v>10</v>
      </c>
    </row>
    <row r="146">
      <c r="A146" s="5" t="str">
        <f>IFERROR(__xludf.DUMMYFUNCTION("""COMPUTED_VALUE"""),"DBP02000144")</f>
        <v>DBP02000144</v>
      </c>
      <c r="B146" s="5" t="str">
        <f>IFERROR(__xludf.DUMMYFUNCTION("""COMPUTED_VALUE"""),"tioayudia167@gmail.com")</f>
        <v>tioayudia167@gmail.com</v>
      </c>
      <c r="C146" s="3">
        <v>222222.0</v>
      </c>
      <c r="D146" s="3" t="s">
        <v>8</v>
      </c>
      <c r="E146" s="3" t="s">
        <v>9</v>
      </c>
      <c r="F146" s="3" t="s">
        <v>10</v>
      </c>
    </row>
    <row r="147">
      <c r="A147" s="5" t="str">
        <f>IFERROR(__xludf.DUMMYFUNCTION("""COMPUTED_VALUE"""),"DBP02000145")</f>
        <v>DBP02000145</v>
      </c>
      <c r="B147" s="5" t="str">
        <f>IFERROR(__xludf.DUMMYFUNCTION("""COMPUTED_VALUE"""),"monang.2605@gmail.com")</f>
        <v>monang.2605@gmail.com</v>
      </c>
      <c r="C147" s="3">
        <v>222222.0</v>
      </c>
      <c r="D147" s="3" t="s">
        <v>8</v>
      </c>
      <c r="E147" s="3" t="s">
        <v>9</v>
      </c>
      <c r="F147" s="3" t="s">
        <v>10</v>
      </c>
    </row>
    <row r="148">
      <c r="A148" s="5" t="str">
        <f>IFERROR(__xludf.DUMMYFUNCTION("""COMPUTED_VALUE"""),"DBP02000146")</f>
        <v>DBP02000146</v>
      </c>
      <c r="B148" s="5" t="str">
        <f>IFERROR(__xludf.DUMMYFUNCTION("""COMPUTED_VALUE"""),"marcelinus.aap@gmail.com")</f>
        <v>marcelinus.aap@gmail.com</v>
      </c>
      <c r="C148" s="3">
        <v>222222.0</v>
      </c>
      <c r="D148" s="3" t="s">
        <v>8</v>
      </c>
      <c r="E148" s="3" t="s">
        <v>9</v>
      </c>
      <c r="F148" s="3" t="s">
        <v>10</v>
      </c>
    </row>
    <row r="149">
      <c r="A149" s="5" t="str">
        <f>IFERROR(__xludf.DUMMYFUNCTION("""COMPUTED_VALUE"""),"DBP02000147")</f>
        <v>DBP02000147</v>
      </c>
      <c r="B149" s="5" t="str">
        <f>IFERROR(__xludf.DUMMYFUNCTION("""COMPUTED_VALUE"""),"alfienaintan@gmail.com")</f>
        <v>alfienaintan@gmail.com</v>
      </c>
      <c r="C149" s="3">
        <v>222222.0</v>
      </c>
      <c r="D149" s="3" t="s">
        <v>8</v>
      </c>
      <c r="E149" s="3" t="s">
        <v>9</v>
      </c>
      <c r="F149" s="3" t="s">
        <v>10</v>
      </c>
    </row>
    <row r="150">
      <c r="A150" s="5" t="str">
        <f>IFERROR(__xludf.DUMMYFUNCTION("""COMPUTED_VALUE"""),"DBP02000148")</f>
        <v>DBP02000148</v>
      </c>
      <c r="B150" s="5" t="str">
        <f>IFERROR(__xludf.DUMMYFUNCTION("""COMPUTED_VALUE"""),"vieloy.immanuel@gmail.com")</f>
        <v>vieloy.immanuel@gmail.com</v>
      </c>
      <c r="C150" s="3">
        <v>222222.0</v>
      </c>
      <c r="D150" s="3" t="s">
        <v>8</v>
      </c>
      <c r="E150" s="3" t="s">
        <v>9</v>
      </c>
      <c r="F150" s="3" t="s">
        <v>10</v>
      </c>
    </row>
    <row r="151">
      <c r="A151" s="5" t="str">
        <f>IFERROR(__xludf.DUMMYFUNCTION("""COMPUTED_VALUE"""),"DBP02000149")</f>
        <v>DBP02000149</v>
      </c>
      <c r="B151" s="5" t="str">
        <f>IFERROR(__xludf.DUMMYFUNCTION("""COMPUTED_VALUE"""),"agi.anggani8@gmail.com")</f>
        <v>agi.anggani8@gmail.com</v>
      </c>
      <c r="C151" s="3">
        <v>222222.0</v>
      </c>
      <c r="D151" s="3" t="s">
        <v>8</v>
      </c>
      <c r="E151" s="3" t="s">
        <v>9</v>
      </c>
      <c r="F151" s="3" t="s">
        <v>10</v>
      </c>
    </row>
    <row r="152">
      <c r="A152" s="5" t="str">
        <f>IFERROR(__xludf.DUMMYFUNCTION("""COMPUTED_VALUE"""),"DBP02000150")</f>
        <v>DBP02000150</v>
      </c>
      <c r="B152" s="5" t="str">
        <f>IFERROR(__xludf.DUMMYFUNCTION("""COMPUTED_VALUE"""),"ahmadasbon@gmail.com")</f>
        <v>ahmadasbon@gmail.com</v>
      </c>
      <c r="C152" s="3">
        <v>222222.0</v>
      </c>
      <c r="D152" s="3" t="s">
        <v>8</v>
      </c>
      <c r="E152" s="3" t="s">
        <v>9</v>
      </c>
      <c r="F152" s="3" t="s">
        <v>10</v>
      </c>
    </row>
    <row r="153">
      <c r="A153" s="5" t="str">
        <f>IFERROR(__xludf.DUMMYFUNCTION("""COMPUTED_VALUE"""),"DBP02000151")</f>
        <v>DBP02000151</v>
      </c>
      <c r="B153" s="5" t="str">
        <f>IFERROR(__xludf.DUMMYFUNCTION("""COMPUTED_VALUE"""),"ravinaulia@gmail.com")</f>
        <v>ravinaulia@gmail.com</v>
      </c>
      <c r="C153" s="3">
        <v>222222.0</v>
      </c>
      <c r="D153" s="3" t="s">
        <v>8</v>
      </c>
      <c r="E153" s="3" t="s">
        <v>9</v>
      </c>
      <c r="F153" s="3" t="s">
        <v>10</v>
      </c>
    </row>
    <row r="154">
      <c r="A154" s="5" t="str">
        <f>IFERROR(__xludf.DUMMYFUNCTION("""COMPUTED_VALUE"""),"DBP02000152")</f>
        <v>DBP02000152</v>
      </c>
      <c r="B154" s="5" t="str">
        <f>IFERROR(__xludf.DUMMYFUNCTION("""COMPUTED_VALUE"""),"sridestri12@gmail.com")</f>
        <v>sridestri12@gmail.com</v>
      </c>
      <c r="C154" s="3">
        <v>222222.0</v>
      </c>
      <c r="D154" s="3" t="s">
        <v>8</v>
      </c>
      <c r="E154" s="3" t="s">
        <v>9</v>
      </c>
      <c r="F154" s="3" t="s">
        <v>10</v>
      </c>
    </row>
    <row r="155">
      <c r="A155" s="5" t="str">
        <f>IFERROR(__xludf.DUMMYFUNCTION("""COMPUTED_VALUE"""),"DBP02000153")</f>
        <v>DBP02000153</v>
      </c>
      <c r="B155" s="5" t="str">
        <f>IFERROR(__xludf.DUMMYFUNCTION("""COMPUTED_VALUE"""),"ignatiainezm@gmail.com")</f>
        <v>ignatiainezm@gmail.com</v>
      </c>
      <c r="C155" s="3">
        <v>222222.0</v>
      </c>
      <c r="D155" s="3" t="s">
        <v>8</v>
      </c>
      <c r="E155" s="3" t="s">
        <v>9</v>
      </c>
      <c r="F155" s="3" t="s">
        <v>10</v>
      </c>
    </row>
    <row r="156">
      <c r="A156" s="5" t="str">
        <f>IFERROR(__xludf.DUMMYFUNCTION("""COMPUTED_VALUE"""),"DBP02000154")</f>
        <v>DBP02000154</v>
      </c>
      <c r="B156" s="5" t="str">
        <f>IFERROR(__xludf.DUMMYFUNCTION("""COMPUTED_VALUE"""),"frmilliano@gmail.com")</f>
        <v>frmilliano@gmail.com</v>
      </c>
      <c r="C156" s="3">
        <v>222222.0</v>
      </c>
      <c r="D156" s="3" t="s">
        <v>8</v>
      </c>
      <c r="E156" s="3" t="s">
        <v>9</v>
      </c>
      <c r="F156" s="3" t="s">
        <v>10</v>
      </c>
    </row>
    <row r="157">
      <c r="A157" s="5" t="str">
        <f>IFERROR(__xludf.DUMMYFUNCTION("""COMPUTED_VALUE"""),"DBP02000155")</f>
        <v>DBP02000155</v>
      </c>
      <c r="B157" s="5" t="str">
        <f>IFERROR(__xludf.DUMMYFUNCTION("""COMPUTED_VALUE"""),"alyadewipritania1@gmail.com")</f>
        <v>alyadewipritania1@gmail.com</v>
      </c>
      <c r="C157" s="3">
        <v>222222.0</v>
      </c>
      <c r="D157" s="3" t="s">
        <v>8</v>
      </c>
      <c r="E157" s="3" t="s">
        <v>9</v>
      </c>
      <c r="F157" s="3" t="s">
        <v>10</v>
      </c>
    </row>
    <row r="158">
      <c r="A158" s="5" t="str">
        <f>IFERROR(__xludf.DUMMYFUNCTION("""COMPUTED_VALUE"""),"DBP02000156")</f>
        <v>DBP02000156</v>
      </c>
      <c r="B158" s="5" t="str">
        <f>IFERROR(__xludf.DUMMYFUNCTION("""COMPUTED_VALUE"""),"alfianda680@gmail.com")</f>
        <v>alfianda680@gmail.com</v>
      </c>
      <c r="C158" s="3">
        <v>222222.0</v>
      </c>
      <c r="D158" s="3" t="s">
        <v>8</v>
      </c>
      <c r="E158" s="3" t="s">
        <v>9</v>
      </c>
      <c r="F158" s="3" t="s">
        <v>10</v>
      </c>
    </row>
    <row r="159">
      <c r="A159" s="5" t="str">
        <f>IFERROR(__xludf.DUMMYFUNCTION("""COMPUTED_VALUE"""),"DBP02000157")</f>
        <v>DBP02000157</v>
      </c>
      <c r="B159" s="5" t="str">
        <f>IFERROR(__xludf.DUMMYFUNCTION("""COMPUTED_VALUE"""),"komang.bayuanantap@gmail.com")</f>
        <v>komang.bayuanantap@gmail.com</v>
      </c>
      <c r="C159" s="3">
        <v>222222.0</v>
      </c>
      <c r="D159" s="3" t="s">
        <v>8</v>
      </c>
      <c r="E159" s="3" t="s">
        <v>9</v>
      </c>
      <c r="F159" s="3" t="s">
        <v>10</v>
      </c>
    </row>
    <row r="160">
      <c r="A160" s="5" t="str">
        <f>IFERROR(__xludf.DUMMYFUNCTION("""COMPUTED_VALUE"""),"DBP02000158")</f>
        <v>DBP02000158</v>
      </c>
      <c r="B160" s="5" t="str">
        <f>IFERROR(__xludf.DUMMYFUNCTION("""COMPUTED_VALUE"""),"firdausiallif@gmail.com")</f>
        <v>firdausiallif@gmail.com</v>
      </c>
      <c r="C160" s="3">
        <v>222222.0</v>
      </c>
      <c r="D160" s="3" t="s">
        <v>8</v>
      </c>
      <c r="E160" s="3" t="s">
        <v>9</v>
      </c>
      <c r="F160" s="3" t="s">
        <v>10</v>
      </c>
    </row>
    <row r="161">
      <c r="A161" s="5" t="str">
        <f>IFERROR(__xludf.DUMMYFUNCTION("""COMPUTED_VALUE"""),"DBP02000159")</f>
        <v>DBP02000159</v>
      </c>
      <c r="B161" s="5" t="str">
        <f>IFERROR(__xludf.DUMMYFUNCTION("""COMPUTED_VALUE"""),"ifanhasnan@gmail.com")</f>
        <v>ifanhasnan@gmail.com</v>
      </c>
      <c r="C161" s="3">
        <v>222222.0</v>
      </c>
      <c r="D161" s="3" t="s">
        <v>8</v>
      </c>
      <c r="E161" s="3" t="s">
        <v>9</v>
      </c>
      <c r="F161" s="3" t="s">
        <v>10</v>
      </c>
    </row>
    <row r="162">
      <c r="A162" s="5" t="str">
        <f>IFERROR(__xludf.DUMMYFUNCTION("""COMPUTED_VALUE"""),"DBP02000160")</f>
        <v>DBP02000160</v>
      </c>
      <c r="B162" s="5" t="str">
        <f>IFERROR(__xludf.DUMMYFUNCTION("""COMPUTED_VALUE"""),"evelynenindawinahyu@gmail.com")</f>
        <v>evelynenindawinahyu@gmail.com</v>
      </c>
      <c r="C162" s="3">
        <v>222222.0</v>
      </c>
      <c r="D162" s="3" t="s">
        <v>8</v>
      </c>
      <c r="E162" s="3" t="s">
        <v>9</v>
      </c>
      <c r="F162" s="3" t="s">
        <v>10</v>
      </c>
    </row>
    <row r="163">
      <c r="A163" s="5" t="str">
        <f>IFERROR(__xludf.DUMMYFUNCTION("""COMPUTED_VALUE"""),"DBP02000161")</f>
        <v>DBP02000161</v>
      </c>
      <c r="B163" s="5" t="str">
        <f>IFERROR(__xludf.DUMMYFUNCTION("""COMPUTED_VALUE"""),"wentisihombingwss1808@gmail.com")</f>
        <v>wentisihombingwss1808@gmail.com</v>
      </c>
      <c r="C163" s="3">
        <v>222222.0</v>
      </c>
      <c r="D163" s="3" t="s">
        <v>8</v>
      </c>
      <c r="E163" s="3" t="s">
        <v>9</v>
      </c>
      <c r="F163" s="3" t="s">
        <v>10</v>
      </c>
    </row>
    <row r="164">
      <c r="A164" s="5" t="str">
        <f>IFERROR(__xludf.DUMMYFUNCTION("""COMPUTED_VALUE"""),"DBP02000162")</f>
        <v>DBP02000162</v>
      </c>
      <c r="B164" s="5" t="str">
        <f>IFERROR(__xludf.DUMMYFUNCTION("""COMPUTED_VALUE"""),"ilgapermata@gmail.com")</f>
        <v>ilgapermata@gmail.com</v>
      </c>
      <c r="C164" s="3">
        <v>222222.0</v>
      </c>
      <c r="D164" s="3" t="s">
        <v>8</v>
      </c>
      <c r="E164" s="3" t="s">
        <v>9</v>
      </c>
      <c r="F164" s="3" t="s">
        <v>10</v>
      </c>
    </row>
    <row r="165">
      <c r="A165" s="5" t="str">
        <f>IFERROR(__xludf.DUMMYFUNCTION("""COMPUTED_VALUE"""),"DBP02000163")</f>
        <v>DBP02000163</v>
      </c>
      <c r="B165" s="5" t="str">
        <f>IFERROR(__xludf.DUMMYFUNCTION("""COMPUTED_VALUE"""),"desymh@gmail.com")</f>
        <v>desymh@gmail.com</v>
      </c>
      <c r="C165" s="3">
        <v>222222.0</v>
      </c>
      <c r="D165" s="3" t="s">
        <v>8</v>
      </c>
      <c r="E165" s="3" t="s">
        <v>9</v>
      </c>
      <c r="F165" s="3" t="s">
        <v>10</v>
      </c>
    </row>
    <row r="166">
      <c r="A166" s="5" t="str">
        <f>IFERROR(__xludf.DUMMYFUNCTION("""COMPUTED_VALUE"""),"DBP02000164")</f>
        <v>DBP02000164</v>
      </c>
      <c r="B166" s="5" t="str">
        <f>IFERROR(__xludf.DUMMYFUNCTION("""COMPUTED_VALUE"""),"anindyaseptis@gmail.com")</f>
        <v>anindyaseptis@gmail.com</v>
      </c>
      <c r="C166" s="3">
        <v>222222.0</v>
      </c>
      <c r="D166" s="3" t="s">
        <v>8</v>
      </c>
      <c r="E166" s="3" t="s">
        <v>9</v>
      </c>
      <c r="F166" s="3" t="s">
        <v>10</v>
      </c>
    </row>
    <row r="167">
      <c r="A167" s="5" t="str">
        <f>IFERROR(__xludf.DUMMYFUNCTION("""COMPUTED_VALUE"""),"DBP02000165")</f>
        <v>DBP02000165</v>
      </c>
      <c r="B167" s="5" t="str">
        <f>IFERROR(__xludf.DUMMYFUNCTION("""COMPUTED_VALUE"""),"novyarboy13@gmail.com")</f>
        <v>novyarboy13@gmail.com</v>
      </c>
      <c r="C167" s="3">
        <v>222222.0</v>
      </c>
      <c r="D167" s="3" t="s">
        <v>8</v>
      </c>
      <c r="E167" s="3" t="s">
        <v>9</v>
      </c>
      <c r="F167" s="3" t="s">
        <v>10</v>
      </c>
    </row>
    <row r="168">
      <c r="A168" s="5" t="str">
        <f>IFERROR(__xludf.DUMMYFUNCTION("""COMPUTED_VALUE"""),"DBP02000166")</f>
        <v>DBP02000166</v>
      </c>
      <c r="B168" s="5" t="str">
        <f>IFERROR(__xludf.DUMMYFUNCTION("""COMPUTED_VALUE"""),"hanamegumie@gmail.com")</f>
        <v>hanamegumie@gmail.com</v>
      </c>
      <c r="C168" s="3">
        <v>222222.0</v>
      </c>
      <c r="D168" s="3" t="s">
        <v>8</v>
      </c>
      <c r="E168" s="3" t="s">
        <v>9</v>
      </c>
      <c r="F168" s="3" t="s">
        <v>10</v>
      </c>
    </row>
    <row r="169">
      <c r="A169" s="5" t="str">
        <f>IFERROR(__xludf.DUMMYFUNCTION("""COMPUTED_VALUE"""),"DBP02000167")</f>
        <v>DBP02000167</v>
      </c>
      <c r="B169" s="5" t="str">
        <f>IFERROR(__xludf.DUMMYFUNCTION("""COMPUTED_VALUE"""),"alhiqnira14@gmail.com")</f>
        <v>alhiqnira14@gmail.com</v>
      </c>
      <c r="C169" s="3">
        <v>222222.0</v>
      </c>
      <c r="D169" s="3" t="s">
        <v>8</v>
      </c>
      <c r="E169" s="3" t="s">
        <v>9</v>
      </c>
      <c r="F169" s="3" t="s">
        <v>10</v>
      </c>
    </row>
    <row r="170">
      <c r="A170" s="5" t="str">
        <f>IFERROR(__xludf.DUMMYFUNCTION("""COMPUTED_VALUE"""),"DBP02000168")</f>
        <v>DBP02000168</v>
      </c>
      <c r="B170" s="5" t="str">
        <f>IFERROR(__xludf.DUMMYFUNCTION("""COMPUTED_VALUE"""),"febrianbintang3@gmail.com")</f>
        <v>febrianbintang3@gmail.com</v>
      </c>
      <c r="C170" s="3">
        <v>222222.0</v>
      </c>
      <c r="D170" s="3" t="s">
        <v>8</v>
      </c>
      <c r="E170" s="3" t="s">
        <v>9</v>
      </c>
      <c r="F170" s="3" t="s">
        <v>10</v>
      </c>
    </row>
    <row r="171">
      <c r="A171" s="5" t="str">
        <f>IFERROR(__xludf.DUMMYFUNCTION("""COMPUTED_VALUE"""),"DBP02000169")</f>
        <v>DBP02000169</v>
      </c>
      <c r="B171" s="5" t="str">
        <f>IFERROR(__xludf.DUMMYFUNCTION("""COMPUTED_VALUE"""),"yulianiser@gmail.com")</f>
        <v>yulianiser@gmail.com</v>
      </c>
      <c r="C171" s="3">
        <v>222222.0</v>
      </c>
      <c r="D171" s="3" t="s">
        <v>8</v>
      </c>
      <c r="E171" s="3" t="s">
        <v>9</v>
      </c>
      <c r="F171" s="3" t="s">
        <v>10</v>
      </c>
    </row>
    <row r="172">
      <c r="A172" s="5" t="str">
        <f>IFERROR(__xludf.DUMMYFUNCTION("""COMPUTED_VALUE"""),"DBP02000170")</f>
        <v>DBP02000170</v>
      </c>
      <c r="B172" s="5" t="str">
        <f>IFERROR(__xludf.DUMMYFUNCTION("""COMPUTED_VALUE"""),"anitarumapea@gmail.com")</f>
        <v>anitarumapea@gmail.com</v>
      </c>
      <c r="C172" s="3">
        <v>222222.0</v>
      </c>
      <c r="D172" s="3" t="s">
        <v>8</v>
      </c>
      <c r="E172" s="3" t="s">
        <v>9</v>
      </c>
      <c r="F172" s="3" t="s">
        <v>10</v>
      </c>
    </row>
    <row r="173">
      <c r="A173" s="5" t="str">
        <f>IFERROR(__xludf.DUMMYFUNCTION("""COMPUTED_VALUE"""),"DBP02000171")</f>
        <v>DBP02000171</v>
      </c>
      <c r="B173" s="5" t="str">
        <f>IFERROR(__xludf.DUMMYFUNCTION("""COMPUTED_VALUE"""),"ubaidikbar@gmail.com")</f>
        <v>ubaidikbar@gmail.com</v>
      </c>
      <c r="C173" s="3">
        <v>222222.0</v>
      </c>
      <c r="D173" s="3" t="s">
        <v>8</v>
      </c>
      <c r="E173" s="3" t="s">
        <v>9</v>
      </c>
      <c r="F173" s="3" t="s">
        <v>10</v>
      </c>
    </row>
    <row r="174">
      <c r="A174" s="5" t="str">
        <f>IFERROR(__xludf.DUMMYFUNCTION("""COMPUTED_VALUE"""),"DBP02000172")</f>
        <v>DBP02000172</v>
      </c>
      <c r="B174" s="5" t="str">
        <f>IFERROR(__xludf.DUMMYFUNCTION("""COMPUTED_VALUE"""),"tersia.inne@gmail.com")</f>
        <v>tersia.inne@gmail.com</v>
      </c>
      <c r="C174" s="3">
        <v>222222.0</v>
      </c>
      <c r="D174" s="3" t="s">
        <v>8</v>
      </c>
      <c r="E174" s="3" t="s">
        <v>9</v>
      </c>
      <c r="F174" s="3" t="s">
        <v>10</v>
      </c>
    </row>
    <row r="175">
      <c r="A175" s="5" t="str">
        <f>IFERROR(__xludf.DUMMYFUNCTION("""COMPUTED_VALUE"""),"DBP02000173")</f>
        <v>DBP02000173</v>
      </c>
      <c r="B175" s="5" t="str">
        <f>IFERROR(__xludf.DUMMYFUNCTION("""COMPUTED_VALUE"""),"adiwirasusanto@gmail.com")</f>
        <v>adiwirasusanto@gmail.com</v>
      </c>
      <c r="C175" s="3">
        <v>222222.0</v>
      </c>
      <c r="D175" s="3" t="s">
        <v>8</v>
      </c>
      <c r="E175" s="3" t="s">
        <v>9</v>
      </c>
      <c r="F175" s="3" t="s">
        <v>10</v>
      </c>
    </row>
    <row r="176">
      <c r="A176" s="5" t="str">
        <f>IFERROR(__xludf.DUMMYFUNCTION("""COMPUTED_VALUE"""),"DBP02000174")</f>
        <v>DBP02000174</v>
      </c>
      <c r="B176" s="5" t="str">
        <f>IFERROR(__xludf.DUMMYFUNCTION("""COMPUTED_VALUE"""),"mdzakyrm2001@gmail.com")</f>
        <v>mdzakyrm2001@gmail.com</v>
      </c>
      <c r="C176" s="3">
        <v>222222.0</v>
      </c>
      <c r="D176" s="3" t="s">
        <v>8</v>
      </c>
      <c r="E176" s="3" t="s">
        <v>9</v>
      </c>
      <c r="F176" s="3" t="s">
        <v>10</v>
      </c>
    </row>
    <row r="177">
      <c r="A177" s="5" t="str">
        <f>IFERROR(__xludf.DUMMYFUNCTION("""COMPUTED_VALUE"""),"DBP02000175")</f>
        <v>DBP02000175</v>
      </c>
      <c r="B177" s="5" t="str">
        <f>IFERROR(__xludf.DUMMYFUNCTION("""COMPUTED_VALUE"""),"adityasuratmin96@gmail.com")</f>
        <v>adityasuratmin96@gmail.com</v>
      </c>
      <c r="C177" s="3">
        <v>222222.0</v>
      </c>
      <c r="D177" s="3" t="s">
        <v>8</v>
      </c>
      <c r="E177" s="3" t="s">
        <v>9</v>
      </c>
      <c r="F177" s="3" t="s">
        <v>10</v>
      </c>
    </row>
    <row r="178">
      <c r="A178" s="5" t="str">
        <f>IFERROR(__xludf.DUMMYFUNCTION("""COMPUTED_VALUE"""),"DBP02000176")</f>
        <v>DBP02000176</v>
      </c>
      <c r="B178" s="5" t="str">
        <f>IFERROR(__xludf.DUMMYFUNCTION("""COMPUTED_VALUE"""),"guardianmuhammad7@gmail.com")</f>
        <v>guardianmuhammad7@gmail.com</v>
      </c>
      <c r="C178" s="3">
        <v>222222.0</v>
      </c>
      <c r="D178" s="3" t="s">
        <v>8</v>
      </c>
      <c r="E178" s="3" t="s">
        <v>9</v>
      </c>
      <c r="F178" s="3" t="s">
        <v>10</v>
      </c>
    </row>
    <row r="179">
      <c r="A179" s="5" t="str">
        <f>IFERROR(__xludf.DUMMYFUNCTION("""COMPUTED_VALUE"""),"DBP02000177")</f>
        <v>DBP02000177</v>
      </c>
      <c r="B179" s="5" t="str">
        <f>IFERROR(__xludf.DUMMYFUNCTION("""COMPUTED_VALUE"""),"itsgyuno@gmail.com")</f>
        <v>itsgyuno@gmail.com</v>
      </c>
      <c r="C179" s="3">
        <v>222222.0</v>
      </c>
      <c r="D179" s="3" t="s">
        <v>8</v>
      </c>
      <c r="E179" s="3" t="s">
        <v>9</v>
      </c>
      <c r="F179" s="3" t="s">
        <v>10</v>
      </c>
    </row>
    <row r="180">
      <c r="A180" s="5" t="str">
        <f>IFERROR(__xludf.DUMMYFUNCTION("""COMPUTED_VALUE"""),"DBP02000178")</f>
        <v>DBP02000178</v>
      </c>
      <c r="B180" s="5" t="str">
        <f>IFERROR(__xludf.DUMMYFUNCTION("""COMPUTED_VALUE"""),"silmihafiz19@gmail.com")</f>
        <v>silmihafiz19@gmail.com</v>
      </c>
      <c r="C180" s="3">
        <v>222222.0</v>
      </c>
      <c r="D180" s="3" t="s">
        <v>8</v>
      </c>
      <c r="E180" s="3" t="s">
        <v>9</v>
      </c>
      <c r="F180" s="3" t="s">
        <v>10</v>
      </c>
    </row>
    <row r="181">
      <c r="A181" s="5" t="str">
        <f>IFERROR(__xludf.DUMMYFUNCTION("""COMPUTED_VALUE"""),"DBP02000179")</f>
        <v>DBP02000179</v>
      </c>
      <c r="B181" s="5" t="str">
        <f>IFERROR(__xludf.DUMMYFUNCTION("""COMPUTED_VALUE"""),"carolineputri95@gmail.com")</f>
        <v>carolineputri95@gmail.com</v>
      </c>
      <c r="C181" s="3">
        <v>222222.0</v>
      </c>
      <c r="D181" s="3" t="s">
        <v>8</v>
      </c>
      <c r="E181" s="3" t="s">
        <v>9</v>
      </c>
      <c r="F181" s="3" t="s">
        <v>10</v>
      </c>
    </row>
    <row r="182">
      <c r="A182" s="5" t="str">
        <f>IFERROR(__xludf.DUMMYFUNCTION("""COMPUTED_VALUE"""),"DBP02000180")</f>
        <v>DBP02000180</v>
      </c>
      <c r="B182" s="5" t="str">
        <f>IFERROR(__xludf.DUMMYFUNCTION("""COMPUTED_VALUE"""),"nailatulfadilah29@gmail.com")</f>
        <v>nailatulfadilah29@gmail.com</v>
      </c>
      <c r="C182" s="3">
        <v>222222.0</v>
      </c>
      <c r="D182" s="3" t="s">
        <v>8</v>
      </c>
      <c r="E182" s="3" t="s">
        <v>9</v>
      </c>
      <c r="F182" s="3" t="s">
        <v>10</v>
      </c>
    </row>
    <row r="183">
      <c r="A183" s="5" t="str">
        <f>IFERROR(__xludf.DUMMYFUNCTION("""COMPUTED_VALUE"""),"DBP02000181")</f>
        <v>DBP02000181</v>
      </c>
      <c r="B183" s="5" t="str">
        <f>IFERROR(__xludf.DUMMYFUNCTION("""COMPUTED_VALUE"""),"yurdikaabdulrifky@gmail.com")</f>
        <v>yurdikaabdulrifky@gmail.com</v>
      </c>
      <c r="C183" s="3">
        <v>222222.0</v>
      </c>
      <c r="D183" s="3" t="s">
        <v>8</v>
      </c>
      <c r="E183" s="3" t="s">
        <v>9</v>
      </c>
      <c r="F183" s="3" t="s">
        <v>10</v>
      </c>
    </row>
    <row r="184">
      <c r="A184" s="5" t="str">
        <f>IFERROR(__xludf.DUMMYFUNCTION("""COMPUTED_VALUE"""),"DBP02000182")</f>
        <v>DBP02000182</v>
      </c>
      <c r="B184" s="5" t="str">
        <f>IFERROR(__xludf.DUMMYFUNCTION("""COMPUTED_VALUE"""),"saljuqurattaayun@gmail.com")</f>
        <v>saljuqurattaayun@gmail.com</v>
      </c>
      <c r="C184" s="3">
        <v>222222.0</v>
      </c>
      <c r="D184" s="3" t="s">
        <v>8</v>
      </c>
      <c r="E184" s="3" t="s">
        <v>9</v>
      </c>
      <c r="F184" s="3" t="s">
        <v>10</v>
      </c>
    </row>
    <row r="185">
      <c r="A185" s="5" t="str">
        <f>IFERROR(__xludf.DUMMYFUNCTION("""COMPUTED_VALUE"""),"DBP02000183")</f>
        <v>DBP02000183</v>
      </c>
      <c r="B185" s="5" t="str">
        <f>IFERROR(__xludf.DUMMYFUNCTION("""COMPUTED_VALUE"""),"fannykhalifatu@gmail.com")</f>
        <v>fannykhalifatu@gmail.com</v>
      </c>
      <c r="C185" s="3">
        <v>222222.0</v>
      </c>
      <c r="D185" s="3" t="s">
        <v>8</v>
      </c>
      <c r="E185" s="3" t="s">
        <v>9</v>
      </c>
      <c r="F185" s="3" t="s">
        <v>10</v>
      </c>
    </row>
    <row r="186">
      <c r="A186" s="5" t="str">
        <f>IFERROR(__xludf.DUMMYFUNCTION("""COMPUTED_VALUE"""),"DBP02000184")</f>
        <v>DBP02000184</v>
      </c>
      <c r="B186" s="5" t="str">
        <f>IFERROR(__xludf.DUMMYFUNCTION("""COMPUTED_VALUE"""),"aubreyfiorentia@gmail.com")</f>
        <v>aubreyfiorentia@gmail.com</v>
      </c>
      <c r="C186" s="3">
        <v>222222.0</v>
      </c>
      <c r="D186" s="3" t="s">
        <v>8</v>
      </c>
      <c r="E186" s="3" t="s">
        <v>9</v>
      </c>
      <c r="F186" s="3" t="s">
        <v>10</v>
      </c>
    </row>
    <row r="187">
      <c r="A187" s="5" t="str">
        <f>IFERROR(__xludf.DUMMYFUNCTION("""COMPUTED_VALUE"""),"DBP02000185")</f>
        <v>DBP02000185</v>
      </c>
      <c r="B187" s="5" t="str">
        <f>IFERROR(__xludf.DUMMYFUNCTION("""COMPUTED_VALUE"""),"neniimroatunkhasanah313@gmail.com")</f>
        <v>neniimroatunkhasanah313@gmail.com</v>
      </c>
      <c r="C187" s="3">
        <v>222222.0</v>
      </c>
      <c r="D187" s="3" t="s">
        <v>8</v>
      </c>
      <c r="E187" s="3" t="s">
        <v>9</v>
      </c>
      <c r="F187" s="3" t="s">
        <v>10</v>
      </c>
    </row>
    <row r="188">
      <c r="A188" s="5" t="str">
        <f>IFERROR(__xludf.DUMMYFUNCTION("""COMPUTED_VALUE"""),"DBP02000186")</f>
        <v>DBP02000186</v>
      </c>
      <c r="B188" s="5" t="str">
        <f>IFERROR(__xludf.DUMMYFUNCTION("""COMPUTED_VALUE"""),"adanuruljannah3400@gmail.com")</f>
        <v>adanuruljannah3400@gmail.com</v>
      </c>
      <c r="C188" s="3">
        <v>222222.0</v>
      </c>
      <c r="D188" s="3" t="s">
        <v>8</v>
      </c>
      <c r="E188" s="3" t="s">
        <v>9</v>
      </c>
      <c r="F188" s="3" t="s">
        <v>10</v>
      </c>
    </row>
    <row r="189">
      <c r="A189" s="5" t="str">
        <f>IFERROR(__xludf.DUMMYFUNCTION("""COMPUTED_VALUE"""),"DBP02000187")</f>
        <v>DBP02000187</v>
      </c>
      <c r="B189" s="5" t="str">
        <f>IFERROR(__xludf.DUMMYFUNCTION("""COMPUTED_VALUE"""),"muhamad.ikhsan.al12@gmail.com")</f>
        <v>muhamad.ikhsan.al12@gmail.com</v>
      </c>
      <c r="C189" s="3">
        <v>222222.0</v>
      </c>
      <c r="D189" s="3" t="s">
        <v>8</v>
      </c>
      <c r="E189" s="3" t="s">
        <v>9</v>
      </c>
      <c r="F189" s="3" t="s">
        <v>10</v>
      </c>
    </row>
    <row r="190">
      <c r="A190" s="5" t="str">
        <f>IFERROR(__xludf.DUMMYFUNCTION("""COMPUTED_VALUE"""),"DBP02000188")</f>
        <v>DBP02000188</v>
      </c>
      <c r="B190" s="5" t="str">
        <f>IFERROR(__xludf.DUMMYFUNCTION("""COMPUTED_VALUE"""),"silfanifunny48@gmail.com")</f>
        <v>silfanifunny48@gmail.com</v>
      </c>
      <c r="C190" s="3">
        <v>222222.0</v>
      </c>
      <c r="D190" s="3" t="s">
        <v>8</v>
      </c>
      <c r="E190" s="3" t="s">
        <v>9</v>
      </c>
      <c r="F190" s="3" t="s">
        <v>10</v>
      </c>
    </row>
    <row r="191">
      <c r="A191" s="5" t="str">
        <f>IFERROR(__xludf.DUMMYFUNCTION("""COMPUTED_VALUE"""),"DBP02000189")</f>
        <v>DBP02000189</v>
      </c>
      <c r="B191" s="5" t="str">
        <f>IFERROR(__xludf.DUMMYFUNCTION("""COMPUTED_VALUE"""),"haditfikri13@gmail.com")</f>
        <v>haditfikri13@gmail.com</v>
      </c>
      <c r="C191" s="3">
        <v>222222.0</v>
      </c>
      <c r="D191" s="3" t="s">
        <v>8</v>
      </c>
      <c r="E191" s="3" t="s">
        <v>9</v>
      </c>
      <c r="F191" s="3" t="s">
        <v>10</v>
      </c>
    </row>
    <row r="192">
      <c r="A192" s="5" t="str">
        <f>IFERROR(__xludf.DUMMYFUNCTION("""COMPUTED_VALUE"""),"DBP02000190")</f>
        <v>DBP02000190</v>
      </c>
      <c r="B192" s="5" t="str">
        <f>IFERROR(__xludf.DUMMYFUNCTION("""COMPUTED_VALUE"""),"yopiburhanudin04@gmail.com")</f>
        <v>yopiburhanudin04@gmail.com</v>
      </c>
      <c r="C192" s="3">
        <v>222222.0</v>
      </c>
      <c r="D192" s="3" t="s">
        <v>8</v>
      </c>
      <c r="E192" s="3" t="s">
        <v>9</v>
      </c>
      <c r="F192" s="3" t="s">
        <v>10</v>
      </c>
    </row>
    <row r="193">
      <c r="A193" s="5" t="str">
        <f>IFERROR(__xludf.DUMMYFUNCTION("""COMPUTED_VALUE"""),"DBP02000191")</f>
        <v>DBP02000191</v>
      </c>
      <c r="B193" s="5" t="str">
        <f>IFERROR(__xludf.DUMMYFUNCTION("""COMPUTED_VALUE"""),"citanandakn@gmail.com")</f>
        <v>citanandakn@gmail.com</v>
      </c>
      <c r="C193" s="3">
        <v>222222.0</v>
      </c>
      <c r="D193" s="3" t="s">
        <v>8</v>
      </c>
      <c r="E193" s="3" t="s">
        <v>9</v>
      </c>
      <c r="F193" s="3" t="s">
        <v>10</v>
      </c>
    </row>
    <row r="194">
      <c r="A194" s="5" t="str">
        <f>IFERROR(__xludf.DUMMYFUNCTION("""COMPUTED_VALUE"""),"DBP02000192")</f>
        <v>DBP02000192</v>
      </c>
      <c r="B194" s="5" t="str">
        <f>IFERROR(__xludf.DUMMYFUNCTION("""COMPUTED_VALUE"""),"muzriahsan@gmail.com")</f>
        <v>muzriahsan@gmail.com</v>
      </c>
      <c r="C194" s="3">
        <v>222222.0</v>
      </c>
      <c r="D194" s="3" t="s">
        <v>8</v>
      </c>
      <c r="E194" s="3" t="s">
        <v>9</v>
      </c>
      <c r="F194" s="3" t="s">
        <v>10</v>
      </c>
    </row>
    <row r="195">
      <c r="A195" s="5" t="str">
        <f>IFERROR(__xludf.DUMMYFUNCTION("""COMPUTED_VALUE"""),"DBP02000193")</f>
        <v>DBP02000193</v>
      </c>
      <c r="B195" s="5" t="str">
        <f>IFERROR(__xludf.DUMMYFUNCTION("""COMPUTED_VALUE"""),"audreymangimbulur@gmail.com")</f>
        <v>audreymangimbulur@gmail.com</v>
      </c>
      <c r="C195" s="3">
        <v>222222.0</v>
      </c>
      <c r="D195" s="3" t="s">
        <v>8</v>
      </c>
      <c r="E195" s="3" t="s">
        <v>9</v>
      </c>
      <c r="F195" s="3" t="s">
        <v>10</v>
      </c>
    </row>
    <row r="196">
      <c r="A196" s="5" t="str">
        <f>IFERROR(__xludf.DUMMYFUNCTION("""COMPUTED_VALUE"""),"DBP02000194")</f>
        <v>DBP02000194</v>
      </c>
      <c r="B196" s="5" t="str">
        <f>IFERROR(__xludf.DUMMYFUNCTION("""COMPUTED_VALUE"""),"deswinta.aurelia@gmail.com")</f>
        <v>deswinta.aurelia@gmail.com</v>
      </c>
      <c r="C196" s="3">
        <v>222222.0</v>
      </c>
      <c r="D196" s="3" t="s">
        <v>8</v>
      </c>
      <c r="E196" s="3" t="s">
        <v>9</v>
      </c>
      <c r="F196" s="3" t="s">
        <v>10</v>
      </c>
    </row>
    <row r="197">
      <c r="A197" s="5" t="str">
        <f>IFERROR(__xludf.DUMMYFUNCTION("""COMPUTED_VALUE"""),"DBP02000195")</f>
        <v>DBP02000195</v>
      </c>
      <c r="B197" s="5" t="str">
        <f>IFERROR(__xludf.DUMMYFUNCTION("""COMPUTED_VALUE"""),"felicia.harsonoseputro@gmail.com")</f>
        <v>felicia.harsonoseputro@gmail.com</v>
      </c>
      <c r="C197" s="3">
        <v>222222.0</v>
      </c>
      <c r="D197" s="3" t="s">
        <v>8</v>
      </c>
      <c r="E197" s="3" t="s">
        <v>9</v>
      </c>
      <c r="F197" s="3" t="s">
        <v>10</v>
      </c>
    </row>
    <row r="198">
      <c r="A198" s="5" t="str">
        <f>IFERROR(__xludf.DUMMYFUNCTION("""COMPUTED_VALUE"""),"DBP02000196")</f>
        <v>DBP02000196</v>
      </c>
      <c r="B198" s="5" t="str">
        <f>IFERROR(__xludf.DUMMYFUNCTION("""COMPUTED_VALUE"""),"mutiaranurhaliza17@gmail.com")</f>
        <v>mutiaranurhaliza17@gmail.com</v>
      </c>
      <c r="C198" s="3">
        <v>222222.0</v>
      </c>
      <c r="D198" s="3" t="s">
        <v>8</v>
      </c>
      <c r="E198" s="3" t="s">
        <v>9</v>
      </c>
      <c r="F198" s="3" t="s">
        <v>10</v>
      </c>
    </row>
    <row r="199">
      <c r="A199" s="5" t="str">
        <f>IFERROR(__xludf.DUMMYFUNCTION("""COMPUTED_VALUE"""),"DBP02000197")</f>
        <v>DBP02000197</v>
      </c>
      <c r="B199" s="5" t="str">
        <f>IFERROR(__xludf.DUMMYFUNCTION("""COMPUTED_VALUE"""),"soniachristabella@gmail.com")</f>
        <v>soniachristabella@gmail.com</v>
      </c>
      <c r="C199" s="3">
        <v>222222.0</v>
      </c>
      <c r="D199" s="3" t="s">
        <v>8</v>
      </c>
      <c r="E199" s="3" t="s">
        <v>9</v>
      </c>
      <c r="F199" s="3" t="s">
        <v>10</v>
      </c>
    </row>
    <row r="200">
      <c r="A200" s="5" t="str">
        <f>IFERROR(__xludf.DUMMYFUNCTION("""COMPUTED_VALUE"""),"DBP02000198")</f>
        <v>DBP02000198</v>
      </c>
      <c r="B200" s="5" t="str">
        <f>IFERROR(__xludf.DUMMYFUNCTION("""COMPUTED_VALUE"""),"bramantyorizky21@gmail.com")</f>
        <v>bramantyorizky21@gmail.com</v>
      </c>
      <c r="C200" s="3">
        <v>222222.0</v>
      </c>
      <c r="D200" s="3" t="s">
        <v>8</v>
      </c>
      <c r="E200" s="3" t="s">
        <v>9</v>
      </c>
      <c r="F200" s="3" t="s">
        <v>10</v>
      </c>
    </row>
    <row r="201">
      <c r="A201" s="5" t="str">
        <f>IFERROR(__xludf.DUMMYFUNCTION("""COMPUTED_VALUE"""),"DBP02000199")</f>
        <v>DBP02000199</v>
      </c>
      <c r="B201" s="5" t="str">
        <f>IFERROR(__xludf.DUMMYFUNCTION("""COMPUTED_VALUE"""),"adepoetra8@gmail.com")</f>
        <v>adepoetra8@gmail.com</v>
      </c>
      <c r="C201" s="3">
        <v>222222.0</v>
      </c>
      <c r="D201" s="3" t="s">
        <v>8</v>
      </c>
      <c r="E201" s="3" t="s">
        <v>9</v>
      </c>
      <c r="F201" s="3" t="s">
        <v>10</v>
      </c>
    </row>
    <row r="202">
      <c r="A202" s="5" t="str">
        <f>IFERROR(__xludf.DUMMYFUNCTION("""COMPUTED_VALUE"""),"DBP02000200")</f>
        <v>DBP02000200</v>
      </c>
      <c r="B202" s="5" t="str">
        <f>IFERROR(__xludf.DUMMYFUNCTION("""COMPUTED_VALUE"""),"gilangmulyantoro@gmail.com")</f>
        <v>gilangmulyantoro@gmail.com</v>
      </c>
      <c r="C202" s="3">
        <v>222222.0</v>
      </c>
      <c r="D202" s="3" t="s">
        <v>8</v>
      </c>
      <c r="E202" s="3" t="s">
        <v>9</v>
      </c>
      <c r="F202" s="3" t="s">
        <v>10</v>
      </c>
    </row>
    <row r="203">
      <c r="A203" s="5" t="str">
        <f>IFERROR(__xludf.DUMMYFUNCTION("""COMPUTED_VALUE"""),"DBP02000201")</f>
        <v>DBP02000201</v>
      </c>
      <c r="B203" s="5" t="str">
        <f>IFERROR(__xludf.DUMMYFUNCTION("""COMPUTED_VALUE"""),"farhanah.tami@gmail.com")</f>
        <v>farhanah.tami@gmail.com</v>
      </c>
      <c r="C203" s="3">
        <v>222222.0</v>
      </c>
      <c r="D203" s="3" t="s">
        <v>8</v>
      </c>
      <c r="E203" s="3" t="s">
        <v>9</v>
      </c>
      <c r="F203" s="3" t="s">
        <v>10</v>
      </c>
    </row>
    <row r="204">
      <c r="A204" s="5" t="str">
        <f>IFERROR(__xludf.DUMMYFUNCTION("""COMPUTED_VALUE"""),"DBP02000202")</f>
        <v>DBP02000202</v>
      </c>
      <c r="B204" s="5" t="str">
        <f>IFERROR(__xludf.DUMMYFUNCTION("""COMPUTED_VALUE"""),"andraliengshiasitio@gmail.com")</f>
        <v>andraliengshiasitio@gmail.com</v>
      </c>
      <c r="C204" s="3">
        <v>222222.0</v>
      </c>
      <c r="D204" s="3" t="s">
        <v>8</v>
      </c>
      <c r="E204" s="3" t="s">
        <v>9</v>
      </c>
      <c r="F204" s="3" t="s">
        <v>10</v>
      </c>
    </row>
    <row r="205">
      <c r="A205" s="5" t="str">
        <f>IFERROR(__xludf.DUMMYFUNCTION("""COMPUTED_VALUE"""),"DBP02000203")</f>
        <v>DBP02000203</v>
      </c>
      <c r="B205" s="5" t="str">
        <f>IFERROR(__xludf.DUMMYFUNCTION("""COMPUTED_VALUE"""),"oliviaafina96@gmail.com")</f>
        <v>oliviaafina96@gmail.com</v>
      </c>
      <c r="C205" s="3">
        <v>222222.0</v>
      </c>
      <c r="D205" s="3" t="s">
        <v>8</v>
      </c>
      <c r="E205" s="3" t="s">
        <v>9</v>
      </c>
      <c r="F205" s="3" t="s">
        <v>10</v>
      </c>
    </row>
    <row r="206">
      <c r="A206" s="5" t="str">
        <f>IFERROR(__xludf.DUMMYFUNCTION("""COMPUTED_VALUE"""),"DBP02000204")</f>
        <v>DBP02000204</v>
      </c>
      <c r="B206" s="5" t="str">
        <f>IFERROR(__xludf.DUMMYFUNCTION("""COMPUTED_VALUE"""),"efraimnatanael08@gmail.com")</f>
        <v>efraimnatanael08@gmail.com</v>
      </c>
      <c r="C206" s="3">
        <v>222222.0</v>
      </c>
      <c r="D206" s="3" t="s">
        <v>8</v>
      </c>
      <c r="E206" s="3" t="s">
        <v>9</v>
      </c>
      <c r="F206" s="3" t="s">
        <v>10</v>
      </c>
    </row>
    <row r="207">
      <c r="A207" s="5" t="str">
        <f>IFERROR(__xludf.DUMMYFUNCTION("""COMPUTED_VALUE"""),"DBP02000205")</f>
        <v>DBP02000205</v>
      </c>
      <c r="B207" s="5" t="str">
        <f>IFERROR(__xludf.DUMMYFUNCTION("""COMPUTED_VALUE"""),"yuliakumala09@gmail.com")</f>
        <v>yuliakumala09@gmail.com</v>
      </c>
      <c r="C207" s="3">
        <v>222222.0</v>
      </c>
      <c r="D207" s="3" t="s">
        <v>8</v>
      </c>
      <c r="E207" s="3" t="s">
        <v>9</v>
      </c>
      <c r="F207" s="3" t="s">
        <v>10</v>
      </c>
    </row>
    <row r="208">
      <c r="A208" s="5" t="str">
        <f>IFERROR(__xludf.DUMMYFUNCTION("""COMPUTED_VALUE"""),"DBP02000206")</f>
        <v>DBP02000206</v>
      </c>
      <c r="B208" s="5" t="str">
        <f>IFERROR(__xludf.DUMMYFUNCTION("""COMPUTED_VALUE"""),"muhammadilyas1489@gmail.com")</f>
        <v>muhammadilyas1489@gmail.com</v>
      </c>
      <c r="C208" s="3">
        <v>222222.0</v>
      </c>
      <c r="D208" s="3" t="s">
        <v>8</v>
      </c>
      <c r="E208" s="3" t="s">
        <v>9</v>
      </c>
      <c r="F208" s="3" t="s">
        <v>10</v>
      </c>
    </row>
    <row r="209">
      <c r="A209" s="5" t="str">
        <f>IFERROR(__xludf.DUMMYFUNCTION("""COMPUTED_VALUE"""),"DBP02000207")</f>
        <v>DBP02000207</v>
      </c>
      <c r="B209" s="5" t="str">
        <f>IFERROR(__xludf.DUMMYFUNCTION("""COMPUTED_VALUE"""),"osvjl.official@gmail.com")</f>
        <v>osvjl.official@gmail.com</v>
      </c>
      <c r="C209" s="3">
        <v>222222.0</v>
      </c>
      <c r="D209" s="3" t="s">
        <v>8</v>
      </c>
      <c r="E209" s="3" t="s">
        <v>9</v>
      </c>
      <c r="F209" s="3" t="s">
        <v>10</v>
      </c>
    </row>
    <row r="210">
      <c r="A210" s="5" t="str">
        <f>IFERROR(__xludf.DUMMYFUNCTION("""COMPUTED_VALUE"""),"DBP02000208")</f>
        <v>DBP02000208</v>
      </c>
      <c r="B210" s="5"/>
      <c r="C210" s="3">
        <v>222222.0</v>
      </c>
      <c r="D210" s="3" t="s">
        <v>8</v>
      </c>
      <c r="E210" s="3" t="s">
        <v>9</v>
      </c>
      <c r="F210" s="3" t="s">
        <v>10</v>
      </c>
    </row>
    <row r="211">
      <c r="A211" s="5" t="str">
        <f>IFERROR(__xludf.DUMMYFUNCTION("""COMPUTED_VALUE"""),"DBP02000209")</f>
        <v>DBP02000209</v>
      </c>
      <c r="B211" s="5" t="str">
        <f>IFERROR(__xludf.DUMMYFUNCTION("""COMPUTED_VALUE"""),"jw.jocelynwijaya@gmail.com")</f>
        <v>jw.jocelynwijaya@gmail.com</v>
      </c>
      <c r="C211" s="3">
        <v>222222.0</v>
      </c>
      <c r="D211" s="3" t="s">
        <v>8</v>
      </c>
      <c r="E211" s="3" t="s">
        <v>9</v>
      </c>
      <c r="F211" s="3" t="s">
        <v>10</v>
      </c>
    </row>
    <row r="212">
      <c r="A212" s="5" t="str">
        <f>IFERROR(__xludf.DUMMYFUNCTION("""COMPUTED_VALUE"""),"DBP02000210")</f>
        <v>DBP02000210</v>
      </c>
      <c r="B212" s="5" t="str">
        <f>IFERROR(__xludf.DUMMYFUNCTION("""COMPUTED_VALUE"""),"lauwtantowi@gmail.com")</f>
        <v>lauwtantowi@gmail.com</v>
      </c>
      <c r="C212" s="3">
        <v>222222.0</v>
      </c>
      <c r="D212" s="3" t="s">
        <v>8</v>
      </c>
      <c r="E212" s="3" t="s">
        <v>9</v>
      </c>
      <c r="F212" s="3" t="s">
        <v>10</v>
      </c>
    </row>
    <row r="213">
      <c r="A213" s="5" t="str">
        <f>IFERROR(__xludf.DUMMYFUNCTION("""COMPUTED_VALUE"""),"DBP02000211")</f>
        <v>DBP02000211</v>
      </c>
      <c r="B213" s="5" t="str">
        <f>IFERROR(__xludf.DUMMYFUNCTION("""COMPUTED_VALUE"""),"erlinasoebroto@gmail.com")</f>
        <v>erlinasoebroto@gmail.com</v>
      </c>
      <c r="C213" s="3">
        <v>222222.0</v>
      </c>
      <c r="D213" s="3" t="s">
        <v>8</v>
      </c>
      <c r="E213" s="3" t="s">
        <v>9</v>
      </c>
      <c r="F213" s="3" t="s">
        <v>10</v>
      </c>
    </row>
    <row r="214">
      <c r="A214" s="5" t="str">
        <f>IFERROR(__xludf.DUMMYFUNCTION("""COMPUTED_VALUE"""),"DBP02000212")</f>
        <v>DBP02000212</v>
      </c>
      <c r="B214" s="5" t="str">
        <f>IFERROR(__xludf.DUMMYFUNCTION("""COMPUTED_VALUE"""),"widyawijaya49@gmail.com")</f>
        <v>widyawijaya49@gmail.com</v>
      </c>
      <c r="C214" s="3">
        <v>222222.0</v>
      </c>
      <c r="D214" s="3" t="s">
        <v>8</v>
      </c>
      <c r="E214" s="3" t="s">
        <v>9</v>
      </c>
      <c r="F214" s="3" t="s">
        <v>10</v>
      </c>
    </row>
    <row r="215">
      <c r="A215" s="5" t="str">
        <f>IFERROR(__xludf.DUMMYFUNCTION("""COMPUTED_VALUE"""),"DBP02000213")</f>
        <v>DBP02000213</v>
      </c>
      <c r="B215" s="5" t="str">
        <f>IFERROR(__xludf.DUMMYFUNCTION("""COMPUTED_VALUE"""),"nindya401@gmail.com")</f>
        <v>nindya401@gmail.com</v>
      </c>
      <c r="C215" s="3">
        <v>222222.0</v>
      </c>
      <c r="D215" s="3" t="s">
        <v>8</v>
      </c>
      <c r="E215" s="3" t="s">
        <v>9</v>
      </c>
      <c r="F215" s="3" t="s">
        <v>10</v>
      </c>
    </row>
    <row r="216">
      <c r="A216" s="5" t="str">
        <f>IFERROR(__xludf.DUMMYFUNCTION("""COMPUTED_VALUE"""),"DBP02000214")</f>
        <v>DBP02000214</v>
      </c>
      <c r="B216" s="5" t="str">
        <f>IFERROR(__xludf.DUMMYFUNCTION("""COMPUTED_VALUE"""),"bellauliarh@gmail.com")</f>
        <v>bellauliarh@gmail.com</v>
      </c>
      <c r="C216" s="3">
        <v>222222.0</v>
      </c>
      <c r="D216" s="3" t="s">
        <v>8</v>
      </c>
      <c r="E216" s="3" t="s">
        <v>9</v>
      </c>
      <c r="F216" s="3" t="s">
        <v>10</v>
      </c>
    </row>
    <row r="217">
      <c r="A217" s="5" t="str">
        <f>IFERROR(__xludf.DUMMYFUNCTION("""COMPUTED_VALUE"""),"DBP02000215")</f>
        <v>DBP02000215</v>
      </c>
      <c r="B217" s="5" t="str">
        <f>IFERROR(__xludf.DUMMYFUNCTION("""COMPUTED_VALUE"""),"adistyfputri10@gmail.com")</f>
        <v>adistyfputri10@gmail.com</v>
      </c>
      <c r="C217" s="3">
        <v>222222.0</v>
      </c>
      <c r="D217" s="3" t="s">
        <v>8</v>
      </c>
      <c r="E217" s="3" t="s">
        <v>9</v>
      </c>
      <c r="F217" s="3" t="s">
        <v>10</v>
      </c>
    </row>
    <row r="218">
      <c r="A218" s="5" t="str">
        <f>IFERROR(__xludf.DUMMYFUNCTION("""COMPUTED_VALUE"""),"DBP02000216")</f>
        <v>DBP02000216</v>
      </c>
      <c r="B218" s="5" t="str">
        <f>IFERROR(__xludf.DUMMYFUNCTION("""COMPUTED_VALUE"""),"viasufiyanti1212@gmail.com")</f>
        <v>viasufiyanti1212@gmail.com</v>
      </c>
      <c r="C218" s="3">
        <v>222222.0</v>
      </c>
      <c r="D218" s="3" t="s">
        <v>8</v>
      </c>
      <c r="E218" s="3" t="s">
        <v>9</v>
      </c>
      <c r="F218" s="3" t="s">
        <v>10</v>
      </c>
    </row>
    <row r="219">
      <c r="A219" s="5" t="str">
        <f>IFERROR(__xludf.DUMMYFUNCTION("""COMPUTED_VALUE"""),"DBP02000217")</f>
        <v>DBP02000217</v>
      </c>
      <c r="B219" s="5" t="str">
        <f>IFERROR(__xludf.DUMMYFUNCTION("""COMPUTED_VALUE"""),"aditiyafrdn@gmail.com")</f>
        <v>aditiyafrdn@gmail.com</v>
      </c>
      <c r="C219" s="3">
        <v>222222.0</v>
      </c>
      <c r="D219" s="3" t="s">
        <v>8</v>
      </c>
      <c r="E219" s="3" t="s">
        <v>9</v>
      </c>
      <c r="F219" s="3" t="s">
        <v>10</v>
      </c>
    </row>
    <row r="220">
      <c r="A220" s="5" t="str">
        <f>IFERROR(__xludf.DUMMYFUNCTION("""COMPUTED_VALUE"""),"DBP02000218")</f>
        <v>DBP02000218</v>
      </c>
      <c r="B220" s="5" t="str">
        <f>IFERROR(__xludf.DUMMYFUNCTION("""COMPUTED_VALUE"""),"yuni1785.sw@gmail.com")</f>
        <v>yuni1785.sw@gmail.com</v>
      </c>
      <c r="C220" s="3">
        <v>222222.0</v>
      </c>
      <c r="D220" s="3" t="s">
        <v>8</v>
      </c>
      <c r="E220" s="3" t="s">
        <v>9</v>
      </c>
      <c r="F220" s="3" t="s">
        <v>10</v>
      </c>
    </row>
    <row r="221">
      <c r="A221" s="5" t="str">
        <f>IFERROR(__xludf.DUMMYFUNCTION("""COMPUTED_VALUE"""),"DBP02000219")</f>
        <v>DBP02000219</v>
      </c>
      <c r="B221" s="5" t="str">
        <f>IFERROR(__xludf.DUMMYFUNCTION("""COMPUTED_VALUE"""),"devytc16@gmail.com")</f>
        <v>devytc16@gmail.com</v>
      </c>
      <c r="C221" s="3">
        <v>222222.0</v>
      </c>
      <c r="D221" s="3" t="s">
        <v>8</v>
      </c>
      <c r="E221" s="3" t="s">
        <v>9</v>
      </c>
      <c r="F221" s="3" t="s">
        <v>10</v>
      </c>
    </row>
    <row r="222">
      <c r="A222" s="5" t="str">
        <f>IFERROR(__xludf.DUMMYFUNCTION("""COMPUTED_VALUE"""),"DBP02000220")</f>
        <v>DBP02000220</v>
      </c>
      <c r="B222" s="5" t="str">
        <f>IFERROR(__xludf.DUMMYFUNCTION("""COMPUTED_VALUE"""),"nurulkarina22@yahoo.com")</f>
        <v>nurulkarina22@yahoo.com</v>
      </c>
      <c r="C222" s="3">
        <v>222222.0</v>
      </c>
      <c r="D222" s="3" t="s">
        <v>8</v>
      </c>
      <c r="E222" s="3" t="s">
        <v>9</v>
      </c>
      <c r="F222" s="3" t="s">
        <v>10</v>
      </c>
    </row>
    <row r="223">
      <c r="A223" s="5" t="str">
        <f>IFERROR(__xludf.DUMMYFUNCTION("""COMPUTED_VALUE"""),"DBP02000221")</f>
        <v>DBP02000221</v>
      </c>
      <c r="B223" s="5" t="str">
        <f>IFERROR(__xludf.DUMMYFUNCTION("""COMPUTED_VALUE"""),"shaniash18@gmail.com")</f>
        <v>shaniash18@gmail.com</v>
      </c>
      <c r="C223" s="3">
        <v>222222.0</v>
      </c>
      <c r="D223" s="3" t="s">
        <v>8</v>
      </c>
      <c r="E223" s="3" t="s">
        <v>9</v>
      </c>
      <c r="F223" s="3" t="s">
        <v>10</v>
      </c>
    </row>
    <row r="224">
      <c r="A224" s="5" t="str">
        <f>IFERROR(__xludf.DUMMYFUNCTION("""COMPUTED_VALUE"""),"DBP02000222")</f>
        <v>DBP02000222</v>
      </c>
      <c r="B224" s="5" t="str">
        <f>IFERROR(__xludf.DUMMYFUNCTION("""COMPUTED_VALUE"""),"nadyahutagalung1209@gmail.com")</f>
        <v>nadyahutagalung1209@gmail.com</v>
      </c>
      <c r="C224" s="3">
        <v>222222.0</v>
      </c>
      <c r="D224" s="3" t="s">
        <v>8</v>
      </c>
      <c r="E224" s="3" t="s">
        <v>9</v>
      </c>
      <c r="F224" s="3" t="s">
        <v>10</v>
      </c>
    </row>
    <row r="225">
      <c r="A225" s="5" t="str">
        <f>IFERROR(__xludf.DUMMYFUNCTION("""COMPUTED_VALUE"""),"DBP02000223")</f>
        <v>DBP02000223</v>
      </c>
      <c r="B225" s="5" t="str">
        <f>IFERROR(__xludf.DUMMYFUNCTION("""COMPUTED_VALUE"""),"rizkyryan2014@gmail.com")</f>
        <v>rizkyryan2014@gmail.com</v>
      </c>
      <c r="C225" s="3">
        <v>222222.0</v>
      </c>
      <c r="D225" s="3" t="s">
        <v>8</v>
      </c>
      <c r="E225" s="3" t="s">
        <v>9</v>
      </c>
      <c r="F225" s="3" t="s">
        <v>10</v>
      </c>
    </row>
    <row r="226">
      <c r="A226" s="5" t="str">
        <f>IFERROR(__xludf.DUMMYFUNCTION("""COMPUTED_VALUE"""),"DBP02000224")</f>
        <v>DBP02000224</v>
      </c>
      <c r="B226" s="5" t="str">
        <f>IFERROR(__xludf.DUMMYFUNCTION("""COMPUTED_VALUE"""),"marlique.work@gmail.com")</f>
        <v>marlique.work@gmail.com</v>
      </c>
      <c r="C226" s="3">
        <v>222222.0</v>
      </c>
      <c r="D226" s="3" t="s">
        <v>8</v>
      </c>
      <c r="E226" s="3" t="s">
        <v>9</v>
      </c>
      <c r="F226" s="3" t="s">
        <v>10</v>
      </c>
    </row>
    <row r="227">
      <c r="A227" s="5" t="str">
        <f>IFERROR(__xludf.DUMMYFUNCTION("""COMPUTED_VALUE"""),"DBP02000225")</f>
        <v>DBP02000225</v>
      </c>
      <c r="B227" s="5" t="str">
        <f>IFERROR(__xludf.DUMMYFUNCTION("""COMPUTED_VALUE"""),"dai.jordan00@gmail.com")</f>
        <v>dai.jordan00@gmail.com</v>
      </c>
      <c r="C227" s="3">
        <v>222222.0</v>
      </c>
      <c r="D227" s="3" t="s">
        <v>8</v>
      </c>
      <c r="E227" s="3" t="s">
        <v>9</v>
      </c>
      <c r="F227" s="3" t="s">
        <v>10</v>
      </c>
    </row>
    <row r="228">
      <c r="A228" s="5" t="str">
        <f>IFERROR(__xludf.DUMMYFUNCTION("""COMPUTED_VALUE"""),"DBP02000226")</f>
        <v>DBP02000226</v>
      </c>
      <c r="B228" s="5" t="str">
        <f>IFERROR(__xludf.DUMMYFUNCTION("""COMPUTED_VALUE"""),"arga.inq@gmail.com")</f>
        <v>arga.inq@gmail.com</v>
      </c>
      <c r="C228" s="3">
        <v>222222.0</v>
      </c>
      <c r="D228" s="3" t="s">
        <v>8</v>
      </c>
      <c r="E228" s="3" t="s">
        <v>9</v>
      </c>
      <c r="F228" s="3" t="s">
        <v>10</v>
      </c>
    </row>
    <row r="229">
      <c r="A229" s="5" t="str">
        <f>IFERROR(__xludf.DUMMYFUNCTION("""COMPUTED_VALUE"""),"DBP02000227")</f>
        <v>DBP02000227</v>
      </c>
      <c r="B229" s="5" t="str">
        <f>IFERROR(__xludf.DUMMYFUNCTION("""COMPUTED_VALUE"""),"bram.krisnanta@gmail.com")</f>
        <v>bram.krisnanta@gmail.com</v>
      </c>
      <c r="C229" s="3">
        <v>222222.0</v>
      </c>
      <c r="D229" s="3" t="s">
        <v>8</v>
      </c>
      <c r="E229" s="3" t="s">
        <v>9</v>
      </c>
      <c r="F229" s="3" t="s">
        <v>10</v>
      </c>
    </row>
    <row r="230">
      <c r="A230" s="5" t="str">
        <f>IFERROR(__xludf.DUMMYFUNCTION("""COMPUTED_VALUE"""),"DBP02000228")</f>
        <v>DBP02000228</v>
      </c>
      <c r="B230" s="5" t="str">
        <f>IFERROR(__xludf.DUMMYFUNCTION("""COMPUTED_VALUE"""),"juliusimmanueltheo@gmail.com")</f>
        <v>juliusimmanueltheo@gmail.com</v>
      </c>
      <c r="C230" s="3">
        <v>222222.0</v>
      </c>
      <c r="D230" s="3" t="s">
        <v>8</v>
      </c>
      <c r="E230" s="3" t="s">
        <v>9</v>
      </c>
      <c r="F230" s="3" t="s">
        <v>10</v>
      </c>
    </row>
    <row r="231">
      <c r="A231" s="5" t="str">
        <f>IFERROR(__xludf.DUMMYFUNCTION("""COMPUTED_VALUE"""),"DBP02000229")</f>
        <v>DBP02000229</v>
      </c>
      <c r="B231" s="5" t="str">
        <f>IFERROR(__xludf.DUMMYFUNCTION("""COMPUTED_VALUE"""),"arjunamarcelino@gmail.com")</f>
        <v>arjunamarcelino@gmail.com</v>
      </c>
      <c r="C231" s="3">
        <v>222222.0</v>
      </c>
      <c r="D231" s="3" t="s">
        <v>8</v>
      </c>
      <c r="E231" s="3" t="s">
        <v>9</v>
      </c>
      <c r="F231" s="3" t="s">
        <v>10</v>
      </c>
    </row>
    <row r="232">
      <c r="A232" s="5" t="str">
        <f>IFERROR(__xludf.DUMMYFUNCTION("""COMPUTED_VALUE"""),"DBP02000230")</f>
        <v>DBP02000230</v>
      </c>
      <c r="B232" s="5" t="str">
        <f>IFERROR(__xludf.DUMMYFUNCTION("""COMPUTED_VALUE"""),"yolasekar@gmail.com")</f>
        <v>yolasekar@gmail.com</v>
      </c>
      <c r="C232" s="3">
        <v>222222.0</v>
      </c>
      <c r="D232" s="3" t="s">
        <v>8</v>
      </c>
      <c r="E232" s="3" t="s">
        <v>9</v>
      </c>
      <c r="F232" s="3" t="s">
        <v>10</v>
      </c>
    </row>
    <row r="233">
      <c r="A233" s="5" t="str">
        <f>IFERROR(__xludf.DUMMYFUNCTION("""COMPUTED_VALUE"""),"DBP02000231")</f>
        <v>DBP02000231</v>
      </c>
      <c r="B233" s="5" t="str">
        <f>IFERROR(__xludf.DUMMYFUNCTION("""COMPUTED_VALUE"""),"samuelanugrahpasaribu@gmail.com")</f>
        <v>samuelanugrahpasaribu@gmail.com</v>
      </c>
      <c r="C233" s="3">
        <v>222222.0</v>
      </c>
      <c r="D233" s="3" t="s">
        <v>8</v>
      </c>
      <c r="E233" s="3" t="s">
        <v>9</v>
      </c>
      <c r="F233" s="3" t="s">
        <v>10</v>
      </c>
    </row>
    <row r="234">
      <c r="A234" s="5" t="str">
        <f>IFERROR(__xludf.DUMMYFUNCTION("""COMPUTED_VALUE"""),"DBP02000232")</f>
        <v>DBP02000232</v>
      </c>
      <c r="B234" s="5" t="str">
        <f>IFERROR(__xludf.DUMMYFUNCTION("""COMPUTED_VALUE"""),"ini.putri10@gmail.com")</f>
        <v>ini.putri10@gmail.com</v>
      </c>
      <c r="C234" s="3">
        <v>222222.0</v>
      </c>
      <c r="D234" s="3" t="s">
        <v>8</v>
      </c>
      <c r="E234" s="3" t="s">
        <v>9</v>
      </c>
      <c r="F234" s="3" t="s">
        <v>10</v>
      </c>
    </row>
    <row r="235">
      <c r="A235" s="5" t="str">
        <f>IFERROR(__xludf.DUMMYFUNCTION("""COMPUTED_VALUE"""),"DBP02000233")</f>
        <v>DBP02000233</v>
      </c>
      <c r="B235" s="5" t="str">
        <f>IFERROR(__xludf.DUMMYFUNCTION("""COMPUTED_VALUE"""),"melanikristi.mk@gmail.com")</f>
        <v>melanikristi.mk@gmail.com</v>
      </c>
      <c r="C235" s="3">
        <v>222222.0</v>
      </c>
      <c r="D235" s="3" t="s">
        <v>8</v>
      </c>
      <c r="E235" s="3" t="s">
        <v>9</v>
      </c>
      <c r="F235" s="3" t="s">
        <v>10</v>
      </c>
    </row>
    <row r="236">
      <c r="A236" s="5" t="str">
        <f>IFERROR(__xludf.DUMMYFUNCTION("""COMPUTED_VALUE"""),"DBP02000234")</f>
        <v>DBP02000234</v>
      </c>
      <c r="B236" s="5" t="str">
        <f>IFERROR(__xludf.DUMMYFUNCTION("""COMPUTED_VALUE"""),"hanifdk02@gmail.com")</f>
        <v>hanifdk02@gmail.com</v>
      </c>
      <c r="C236" s="3">
        <v>222222.0</v>
      </c>
      <c r="D236" s="3" t="s">
        <v>8</v>
      </c>
      <c r="E236" s="3" t="s">
        <v>9</v>
      </c>
      <c r="F236" s="3" t="s">
        <v>10</v>
      </c>
    </row>
    <row r="237">
      <c r="A237" s="5" t="str">
        <f>IFERROR(__xludf.DUMMYFUNCTION("""COMPUTED_VALUE"""),"DBP02000235")</f>
        <v>DBP02000235</v>
      </c>
      <c r="B237" s="5" t="str">
        <f>IFERROR(__xludf.DUMMYFUNCTION("""COMPUTED_VALUE"""),"shucis126@gmail.com")</f>
        <v>shucis126@gmail.com</v>
      </c>
      <c r="C237" s="3">
        <v>222222.0</v>
      </c>
      <c r="D237" s="3" t="s">
        <v>8</v>
      </c>
      <c r="E237" s="3" t="s">
        <v>9</v>
      </c>
      <c r="F237" s="3" t="s">
        <v>10</v>
      </c>
    </row>
    <row r="238">
      <c r="A238" s="5" t="str">
        <f>IFERROR(__xludf.DUMMYFUNCTION("""COMPUTED_VALUE"""),"DBP02000236")</f>
        <v>DBP02000236</v>
      </c>
      <c r="B238" s="5" t="str">
        <f>IFERROR(__xludf.DUMMYFUNCTION("""COMPUTED_VALUE"""),"alfarisi.farel@gmail.com")</f>
        <v>alfarisi.farel@gmail.com</v>
      </c>
      <c r="C238" s="3">
        <v>222222.0</v>
      </c>
      <c r="D238" s="3" t="s">
        <v>8</v>
      </c>
      <c r="E238" s="3" t="s">
        <v>9</v>
      </c>
      <c r="F238" s="3" t="s">
        <v>10</v>
      </c>
    </row>
    <row r="239">
      <c r="A239" s="5" t="str">
        <f>IFERROR(__xludf.DUMMYFUNCTION("""COMPUTED_VALUE"""),"DBP02000237")</f>
        <v>DBP02000237</v>
      </c>
      <c r="B239" s="5" t="str">
        <f>IFERROR(__xludf.DUMMYFUNCTION("""COMPUTED_VALUE"""),"mayditamaudii@gmail.com")</f>
        <v>mayditamaudii@gmail.com</v>
      </c>
      <c r="C239" s="3">
        <v>222222.0</v>
      </c>
      <c r="D239" s="3" t="s">
        <v>8</v>
      </c>
      <c r="E239" s="3" t="s">
        <v>9</v>
      </c>
      <c r="F239" s="3" t="s">
        <v>10</v>
      </c>
    </row>
    <row r="240">
      <c r="A240" s="5" t="str">
        <f>IFERROR(__xludf.DUMMYFUNCTION("""COMPUTED_VALUE"""),"DBP02000238")</f>
        <v>DBP02000238</v>
      </c>
      <c r="B240" s="5" t="str">
        <f>IFERROR(__xludf.DUMMYFUNCTION("""COMPUTED_VALUE"""),"hello.amik@gmail.com")</f>
        <v>hello.amik@gmail.com</v>
      </c>
      <c r="C240" s="3">
        <v>222222.0</v>
      </c>
      <c r="D240" s="3" t="s">
        <v>8</v>
      </c>
      <c r="E240" s="3" t="s">
        <v>9</v>
      </c>
      <c r="F240" s="3" t="s">
        <v>10</v>
      </c>
    </row>
    <row r="241">
      <c r="A241" s="5" t="str">
        <f>IFERROR(__xludf.DUMMYFUNCTION("""COMPUTED_VALUE"""),"DBP02000239")</f>
        <v>DBP02000239</v>
      </c>
      <c r="B241" s="5" t="str">
        <f>IFERROR(__xludf.DUMMYFUNCTION("""COMPUTED_VALUE"""),"amlzzhra@gmail.com")</f>
        <v>amlzzhra@gmail.com</v>
      </c>
      <c r="C241" s="3">
        <v>222222.0</v>
      </c>
      <c r="D241" s="3" t="s">
        <v>8</v>
      </c>
      <c r="E241" s="3" t="s">
        <v>9</v>
      </c>
      <c r="F241" s="3" t="s">
        <v>10</v>
      </c>
    </row>
    <row r="242">
      <c r="A242" s="5" t="str">
        <f>IFERROR(__xludf.DUMMYFUNCTION("""COMPUTED_VALUE"""),"DBP02000240")</f>
        <v>DBP02000240</v>
      </c>
      <c r="B242" s="5" t="str">
        <f>IFERROR(__xludf.DUMMYFUNCTION("""COMPUTED_VALUE"""),"farhanaasyara@gmail.com")</f>
        <v>farhanaasyara@gmail.com</v>
      </c>
      <c r="C242" s="3">
        <v>222222.0</v>
      </c>
      <c r="D242" s="3" t="s">
        <v>8</v>
      </c>
      <c r="E242" s="3" t="s">
        <v>9</v>
      </c>
      <c r="F242" s="3" t="s">
        <v>10</v>
      </c>
    </row>
    <row r="243">
      <c r="A243" s="5" t="str">
        <f>IFERROR(__xludf.DUMMYFUNCTION("""COMPUTED_VALUE"""),"DBP02000241")</f>
        <v>DBP02000241</v>
      </c>
      <c r="B243" s="5" t="str">
        <f>IFERROR(__xludf.DUMMYFUNCTION("""COMPUTED_VALUE"""),"in.khairunnisa@gmail.com")</f>
        <v>in.khairunnisa@gmail.com</v>
      </c>
      <c r="C243" s="3">
        <v>222222.0</v>
      </c>
      <c r="D243" s="3" t="s">
        <v>8</v>
      </c>
      <c r="E243" s="3" t="s">
        <v>9</v>
      </c>
      <c r="F243" s="3" t="s">
        <v>10</v>
      </c>
    </row>
    <row r="244">
      <c r="A244" s="5" t="str">
        <f>IFERROR(__xludf.DUMMYFUNCTION("""COMPUTED_VALUE"""),"DBP02000242")</f>
        <v>DBP02000242</v>
      </c>
      <c r="B244" s="5" t="str">
        <f>IFERROR(__xludf.DUMMYFUNCTION("""COMPUTED_VALUE"""),"faustinusadven@gmail.com")</f>
        <v>faustinusadven@gmail.com</v>
      </c>
      <c r="C244" s="3">
        <v>222222.0</v>
      </c>
      <c r="D244" s="3" t="s">
        <v>8</v>
      </c>
      <c r="E244" s="3" t="s">
        <v>9</v>
      </c>
      <c r="F244" s="3" t="s">
        <v>10</v>
      </c>
    </row>
    <row r="245">
      <c r="A245" s="5" t="str">
        <f>IFERROR(__xludf.DUMMYFUNCTION("""COMPUTED_VALUE"""),"DBP02000243")</f>
        <v>DBP02000243</v>
      </c>
      <c r="B245" s="5" t="str">
        <f>IFERROR(__xludf.DUMMYFUNCTION("""COMPUTED_VALUE"""),"zulfika.satria@gmail.com")</f>
        <v>zulfika.satria@gmail.com</v>
      </c>
      <c r="C245" s="3">
        <v>222222.0</v>
      </c>
      <c r="D245" s="3" t="s">
        <v>8</v>
      </c>
      <c r="E245" s="3" t="s">
        <v>9</v>
      </c>
      <c r="F245" s="3" t="s">
        <v>10</v>
      </c>
    </row>
    <row r="246">
      <c r="A246" s="5" t="str">
        <f>IFERROR(__xludf.DUMMYFUNCTION("""COMPUTED_VALUE"""),"DBP02000244")</f>
        <v>DBP02000244</v>
      </c>
      <c r="B246" s="5" t="str">
        <f>IFERROR(__xludf.DUMMYFUNCTION("""COMPUTED_VALUE"""),"budionoup.88@gmail.com")</f>
        <v>budionoup.88@gmail.com</v>
      </c>
      <c r="C246" s="3">
        <v>222222.0</v>
      </c>
      <c r="D246" s="3" t="s">
        <v>8</v>
      </c>
      <c r="E246" s="3" t="s">
        <v>9</v>
      </c>
      <c r="F246" s="3" t="s">
        <v>10</v>
      </c>
    </row>
    <row r="247">
      <c r="A247" s="5" t="str">
        <f>IFERROR(__xludf.DUMMYFUNCTION("""COMPUTED_VALUE"""),"DBP02000245")</f>
        <v>DBP02000245</v>
      </c>
      <c r="B247" s="5" t="str">
        <f>IFERROR(__xludf.DUMMYFUNCTION("""COMPUTED_VALUE"""),"fadrostp@gmail.com")</f>
        <v>fadrostp@gmail.com</v>
      </c>
      <c r="C247" s="3">
        <v>222222.0</v>
      </c>
      <c r="D247" s="3" t="s">
        <v>8</v>
      </c>
      <c r="E247" s="3" t="s">
        <v>9</v>
      </c>
      <c r="F247" s="3" t="s">
        <v>10</v>
      </c>
    </row>
    <row r="248">
      <c r="A248" s="5" t="str">
        <f>IFERROR(__xludf.DUMMYFUNCTION("""COMPUTED_VALUE"""),"DBP02000246")</f>
        <v>DBP02000246</v>
      </c>
      <c r="B248" s="5" t="str">
        <f>IFERROR(__xludf.DUMMYFUNCTION("""COMPUTED_VALUE"""),"hastatrida16@gmail.com")</f>
        <v>hastatrida16@gmail.com</v>
      </c>
      <c r="C248" s="3">
        <v>222222.0</v>
      </c>
      <c r="D248" s="3" t="s">
        <v>8</v>
      </c>
      <c r="E248" s="3" t="s">
        <v>9</v>
      </c>
      <c r="F248" s="3" t="s">
        <v>10</v>
      </c>
    </row>
    <row r="249">
      <c r="A249" s="5" t="str">
        <f>IFERROR(__xludf.DUMMYFUNCTION("""COMPUTED_VALUE"""),"DBP02000247")</f>
        <v>DBP02000247</v>
      </c>
      <c r="B249" s="5" t="str">
        <f>IFERROR(__xludf.DUMMYFUNCTION("""COMPUTED_VALUE"""),"damayantie1983@gmail.com")</f>
        <v>damayantie1983@gmail.com</v>
      </c>
      <c r="C249" s="3">
        <v>222222.0</v>
      </c>
      <c r="D249" s="3" t="s">
        <v>8</v>
      </c>
      <c r="E249" s="3" t="s">
        <v>9</v>
      </c>
      <c r="F249" s="3" t="s">
        <v>10</v>
      </c>
    </row>
    <row r="250">
      <c r="A250" s="5" t="str">
        <f>IFERROR(__xludf.DUMMYFUNCTION("""COMPUTED_VALUE"""),"DBP02000248")</f>
        <v>DBP02000248</v>
      </c>
      <c r="B250" s="5" t="str">
        <f>IFERROR(__xludf.DUMMYFUNCTION("""COMPUTED_VALUE"""),"quarten17@gmail.com")</f>
        <v>quarten17@gmail.com</v>
      </c>
      <c r="C250" s="3">
        <v>222222.0</v>
      </c>
      <c r="D250" s="3" t="s">
        <v>8</v>
      </c>
      <c r="E250" s="3" t="s">
        <v>9</v>
      </c>
      <c r="F250" s="3" t="s">
        <v>10</v>
      </c>
    </row>
    <row r="251">
      <c r="A251" s="5" t="str">
        <f>IFERROR(__xludf.DUMMYFUNCTION("""COMPUTED_VALUE"""),"DBP02000249")</f>
        <v>DBP02000249</v>
      </c>
      <c r="B251" s="5" t="str">
        <f>IFERROR(__xludf.DUMMYFUNCTION("""COMPUTED_VALUE"""),"nixie.herianto@gmail.com")</f>
        <v>nixie.herianto@gmail.com</v>
      </c>
      <c r="C251" s="3">
        <v>222222.0</v>
      </c>
      <c r="D251" s="3" t="s">
        <v>8</v>
      </c>
      <c r="E251" s="3" t="s">
        <v>9</v>
      </c>
      <c r="F251" s="3" t="s">
        <v>10</v>
      </c>
    </row>
    <row r="252">
      <c r="A252" s="5" t="str">
        <f>IFERROR(__xludf.DUMMYFUNCTION("""COMPUTED_VALUE"""),"DBP02000250")</f>
        <v>DBP02000250</v>
      </c>
      <c r="B252" s="5" t="str">
        <f>IFERROR(__xludf.DUMMYFUNCTION("""COMPUTED_VALUE"""),"safirasiwipk31@gmail.com")</f>
        <v>safirasiwipk31@gmail.com</v>
      </c>
      <c r="C252" s="3">
        <v>222222.0</v>
      </c>
      <c r="D252" s="3" t="s">
        <v>8</v>
      </c>
      <c r="E252" s="3" t="s">
        <v>9</v>
      </c>
      <c r="F252" s="3" t="s">
        <v>10</v>
      </c>
    </row>
    <row r="253">
      <c r="A253" s="5" t="str">
        <f>IFERROR(__xludf.DUMMYFUNCTION("""COMPUTED_VALUE"""),"DBP02000251")</f>
        <v>DBP02000251</v>
      </c>
      <c r="B253" s="5" t="str">
        <f>IFERROR(__xludf.DUMMYFUNCTION("""COMPUTED_VALUE"""),"dewinifitry@gmail.com")</f>
        <v>dewinifitry@gmail.com</v>
      </c>
      <c r="C253" s="3">
        <v>222222.0</v>
      </c>
      <c r="D253" s="3" t="s">
        <v>8</v>
      </c>
      <c r="E253" s="3" t="s">
        <v>9</v>
      </c>
      <c r="F253" s="3" t="s">
        <v>10</v>
      </c>
    </row>
    <row r="254">
      <c r="A254" s="5" t="str">
        <f>IFERROR(__xludf.DUMMYFUNCTION("""COMPUTED_VALUE"""),"DBP02000252")</f>
        <v>DBP02000252</v>
      </c>
      <c r="B254" s="5" t="str">
        <f>IFERROR(__xludf.DUMMYFUNCTION("""COMPUTED_VALUE"""),"yennsaputri@gmail.com")</f>
        <v>yennsaputri@gmail.com</v>
      </c>
      <c r="C254" s="3">
        <v>222222.0</v>
      </c>
      <c r="D254" s="3" t="s">
        <v>8</v>
      </c>
      <c r="E254" s="3" t="s">
        <v>9</v>
      </c>
      <c r="F254" s="3" t="s">
        <v>10</v>
      </c>
    </row>
    <row r="255">
      <c r="A255" s="5" t="str">
        <f>IFERROR(__xludf.DUMMYFUNCTION("""COMPUTED_VALUE"""),"DBP02000253")</f>
        <v>DBP02000253</v>
      </c>
      <c r="B255" s="5" t="str">
        <f>IFERROR(__xludf.DUMMYFUNCTION("""COMPUTED_VALUE"""),"syahvanalviansyah91@gmail.com")</f>
        <v>syahvanalviansyah91@gmail.com</v>
      </c>
      <c r="C255" s="3">
        <v>222222.0</v>
      </c>
      <c r="D255" s="3" t="s">
        <v>8</v>
      </c>
      <c r="E255" s="3" t="s">
        <v>9</v>
      </c>
      <c r="F255" s="3" t="s">
        <v>10</v>
      </c>
    </row>
    <row r="256">
      <c r="A256" s="5" t="str">
        <f>IFERROR(__xludf.DUMMYFUNCTION("""COMPUTED_VALUE"""),"DBP02000254")</f>
        <v>DBP02000254</v>
      </c>
      <c r="B256" s="5" t="str">
        <f>IFERROR(__xludf.DUMMYFUNCTION("""COMPUTED_VALUE"""),"putriur07@gmail.com")</f>
        <v>putriur07@gmail.com</v>
      </c>
      <c r="C256" s="3">
        <v>222222.0</v>
      </c>
      <c r="D256" s="3" t="s">
        <v>8</v>
      </c>
      <c r="E256" s="3" t="s">
        <v>9</v>
      </c>
      <c r="F256" s="3" t="s">
        <v>10</v>
      </c>
    </row>
    <row r="257">
      <c r="A257" s="5" t="str">
        <f>IFERROR(__xludf.DUMMYFUNCTION("""COMPUTED_VALUE"""),"DBP02000255")</f>
        <v>DBP02000255</v>
      </c>
      <c r="B257" s="5" t="str">
        <f>IFERROR(__xludf.DUMMYFUNCTION("""COMPUTED_VALUE"""),"welly.anggelia@gmail.com")</f>
        <v>welly.anggelia@gmail.com</v>
      </c>
      <c r="C257" s="3">
        <v>222222.0</v>
      </c>
      <c r="D257" s="3" t="s">
        <v>8</v>
      </c>
      <c r="E257" s="3" t="s">
        <v>9</v>
      </c>
      <c r="F257" s="3" t="s">
        <v>10</v>
      </c>
    </row>
    <row r="258">
      <c r="A258" s="5" t="str">
        <f>IFERROR(__xludf.DUMMYFUNCTION("""COMPUTED_VALUE"""),"DBP02000256")</f>
        <v>DBP02000256</v>
      </c>
      <c r="B258" s="5" t="str">
        <f>IFERROR(__xludf.DUMMYFUNCTION("""COMPUTED_VALUE"""),"annisakencananingrum@gmail.com")</f>
        <v>annisakencananingrum@gmail.com</v>
      </c>
      <c r="C258" s="3">
        <v>222222.0</v>
      </c>
      <c r="D258" s="3" t="s">
        <v>8</v>
      </c>
      <c r="E258" s="3" t="s">
        <v>9</v>
      </c>
      <c r="F258" s="3" t="s">
        <v>10</v>
      </c>
    </row>
    <row r="259">
      <c r="A259" s="5" t="str">
        <f>IFERROR(__xludf.DUMMYFUNCTION("""COMPUTED_VALUE"""),"DBP02000257")</f>
        <v>DBP02000257</v>
      </c>
      <c r="B259" s="5" t="str">
        <f>IFERROR(__xludf.DUMMYFUNCTION("""COMPUTED_VALUE"""),"arum.kusumawardhany@elektro.pnj.ac.id")</f>
        <v>arum.kusumawardhany@elektro.pnj.ac.id</v>
      </c>
      <c r="C259" s="3">
        <v>222222.0</v>
      </c>
      <c r="D259" s="3" t="s">
        <v>8</v>
      </c>
      <c r="E259" s="3" t="s">
        <v>9</v>
      </c>
      <c r="F259" s="3" t="s">
        <v>10</v>
      </c>
    </row>
    <row r="260">
      <c r="A260" s="5" t="str">
        <f>IFERROR(__xludf.DUMMYFUNCTION("""COMPUTED_VALUE"""),"DBP02000258")</f>
        <v>DBP02000258</v>
      </c>
      <c r="B260" s="5" t="str">
        <f>IFERROR(__xludf.DUMMYFUNCTION("""COMPUTED_VALUE"""),"ramadhanifebrinurandy@gmail.com")</f>
        <v>ramadhanifebrinurandy@gmail.com</v>
      </c>
      <c r="C260" s="3">
        <v>222222.0</v>
      </c>
      <c r="D260" s="3" t="s">
        <v>8</v>
      </c>
      <c r="E260" s="3" t="s">
        <v>9</v>
      </c>
      <c r="F260" s="3" t="s">
        <v>10</v>
      </c>
    </row>
    <row r="261">
      <c r="A261" s="5" t="str">
        <f>IFERROR(__xludf.DUMMYFUNCTION("""COMPUTED_VALUE"""),"DBP02000259")</f>
        <v>DBP02000259</v>
      </c>
      <c r="B261" s="5" t="str">
        <f>IFERROR(__xludf.DUMMYFUNCTION("""COMPUTED_VALUE"""),"aghisnaim9@gmail.com")</f>
        <v>aghisnaim9@gmail.com</v>
      </c>
      <c r="C261" s="3">
        <v>222222.0</v>
      </c>
      <c r="D261" s="3" t="s">
        <v>8</v>
      </c>
      <c r="E261" s="3" t="s">
        <v>9</v>
      </c>
      <c r="F261" s="3" t="s">
        <v>10</v>
      </c>
    </row>
    <row r="262">
      <c r="A262" s="5" t="str">
        <f>IFERROR(__xludf.DUMMYFUNCTION("""COMPUTED_VALUE"""),"DBP02000260")</f>
        <v>DBP02000260</v>
      </c>
      <c r="B262" s="5" t="str">
        <f>IFERROR(__xludf.DUMMYFUNCTION("""COMPUTED_VALUE"""),"erlandsatria106@gmail.com")</f>
        <v>erlandsatria106@gmail.com</v>
      </c>
      <c r="C262" s="3">
        <v>222222.0</v>
      </c>
      <c r="D262" s="3" t="s">
        <v>8</v>
      </c>
      <c r="E262" s="3" t="s">
        <v>9</v>
      </c>
      <c r="F262" s="3" t="s">
        <v>10</v>
      </c>
    </row>
    <row r="263">
      <c r="A263" s="5" t="str">
        <f>IFERROR(__xludf.DUMMYFUNCTION("""COMPUTED_VALUE"""),"DBP02000261")</f>
        <v>DBP02000261</v>
      </c>
      <c r="B263" s="5" t="str">
        <f>IFERROR(__xludf.DUMMYFUNCTION("""COMPUTED_VALUE"""),"ptrnaurajingga@gmail.com")</f>
        <v>ptrnaurajingga@gmail.com</v>
      </c>
      <c r="C263" s="3">
        <v>222222.0</v>
      </c>
      <c r="D263" s="3" t="s">
        <v>8</v>
      </c>
      <c r="E263" s="3" t="s">
        <v>9</v>
      </c>
      <c r="F263" s="3" t="s">
        <v>10</v>
      </c>
    </row>
    <row r="264">
      <c r="A264" s="5" t="str">
        <f>IFERROR(__xludf.DUMMYFUNCTION("""COMPUTED_VALUE"""),"DBP02000262")</f>
        <v>DBP02000262</v>
      </c>
      <c r="B264" s="5" t="str">
        <f>IFERROR(__xludf.DUMMYFUNCTION("""COMPUTED_VALUE"""),"sefdy.then@gmail.com")</f>
        <v>sefdy.then@gmail.com</v>
      </c>
      <c r="C264" s="3">
        <v>222222.0</v>
      </c>
      <c r="D264" s="3" t="s">
        <v>8</v>
      </c>
      <c r="E264" s="3" t="s">
        <v>9</v>
      </c>
      <c r="F264" s="3" t="s">
        <v>10</v>
      </c>
    </row>
    <row r="265">
      <c r="A265" s="5" t="str">
        <f>IFERROR(__xludf.DUMMYFUNCTION("""COMPUTED_VALUE"""),"DBP02000263")</f>
        <v>DBP02000263</v>
      </c>
      <c r="B265" s="5" t="str">
        <f>IFERROR(__xludf.DUMMYFUNCTION("""COMPUTED_VALUE"""),"hasbisyukri123@gmail.com")</f>
        <v>hasbisyukri123@gmail.com</v>
      </c>
      <c r="C265" s="3">
        <v>222222.0</v>
      </c>
      <c r="D265" s="3" t="s">
        <v>8</v>
      </c>
      <c r="E265" s="3" t="s">
        <v>9</v>
      </c>
      <c r="F265" s="3" t="s">
        <v>10</v>
      </c>
    </row>
    <row r="266">
      <c r="A266" s="5" t="str">
        <f>IFERROR(__xludf.DUMMYFUNCTION("""COMPUTED_VALUE"""),"DBP02000264")</f>
        <v>DBP02000264</v>
      </c>
      <c r="B266" s="5" t="str">
        <f>IFERROR(__xludf.DUMMYFUNCTION("""COMPUTED_VALUE"""),"angelaanathania@gmail.com")</f>
        <v>angelaanathania@gmail.com</v>
      </c>
      <c r="C266" s="3">
        <v>222222.0</v>
      </c>
      <c r="D266" s="3" t="s">
        <v>8</v>
      </c>
      <c r="E266" s="3" t="s">
        <v>9</v>
      </c>
      <c r="F266" s="3" t="s">
        <v>10</v>
      </c>
    </row>
    <row r="267">
      <c r="A267" s="5" t="str">
        <f>IFERROR(__xludf.DUMMYFUNCTION("""COMPUTED_VALUE"""),"DBP02000265")</f>
        <v>DBP02000265</v>
      </c>
      <c r="B267" s="5" t="str">
        <f>IFERROR(__xludf.DUMMYFUNCTION("""COMPUTED_VALUE"""),"aldoronaildo@gmail.com")</f>
        <v>aldoronaildo@gmail.com</v>
      </c>
      <c r="C267" s="3">
        <v>222222.0</v>
      </c>
      <c r="D267" s="3" t="s">
        <v>8</v>
      </c>
      <c r="E267" s="3" t="s">
        <v>9</v>
      </c>
      <c r="F267" s="3" t="s">
        <v>10</v>
      </c>
    </row>
    <row r="268">
      <c r="A268" s="5" t="str">
        <f>IFERROR(__xludf.DUMMYFUNCTION("""COMPUTED_VALUE"""),"DBP02000266")</f>
        <v>DBP02000266</v>
      </c>
      <c r="B268" s="5" t="str">
        <f>IFERROR(__xludf.DUMMYFUNCTION("""COMPUTED_VALUE"""),"ersitarahajeng@gmail.com")</f>
        <v>ersitarahajeng@gmail.com</v>
      </c>
      <c r="C268" s="3">
        <v>222222.0</v>
      </c>
      <c r="D268" s="3" t="s">
        <v>8</v>
      </c>
      <c r="E268" s="3" t="s">
        <v>9</v>
      </c>
      <c r="F268" s="3" t="s">
        <v>10</v>
      </c>
    </row>
    <row r="269">
      <c r="A269" s="5" t="str">
        <f>IFERROR(__xludf.DUMMYFUNCTION("""COMPUTED_VALUE"""),"DBP02000267")</f>
        <v>DBP02000267</v>
      </c>
      <c r="B269" s="5" t="str">
        <f>IFERROR(__xludf.DUMMYFUNCTION("""COMPUTED_VALUE"""),"putridiahesthiningrum@gmail.com")</f>
        <v>putridiahesthiningrum@gmail.com</v>
      </c>
      <c r="C269" s="3">
        <v>222222.0</v>
      </c>
      <c r="D269" s="3" t="s">
        <v>8</v>
      </c>
      <c r="E269" s="3" t="s">
        <v>9</v>
      </c>
      <c r="F269" s="3" t="s">
        <v>10</v>
      </c>
    </row>
    <row r="270">
      <c r="A270" s="5" t="str">
        <f>IFERROR(__xludf.DUMMYFUNCTION("""COMPUTED_VALUE"""),"DBP02000268")</f>
        <v>DBP02000268</v>
      </c>
      <c r="B270" s="5" t="str">
        <f>IFERROR(__xludf.DUMMYFUNCTION("""COMPUTED_VALUE"""),"raishanajmaa@gmail.com")</f>
        <v>raishanajmaa@gmail.com</v>
      </c>
      <c r="C270" s="3">
        <v>222222.0</v>
      </c>
      <c r="D270" s="3" t="s">
        <v>8</v>
      </c>
      <c r="E270" s="3" t="s">
        <v>9</v>
      </c>
      <c r="F270" s="3" t="s">
        <v>10</v>
      </c>
    </row>
    <row r="271">
      <c r="A271" s="5" t="str">
        <f>IFERROR(__xludf.DUMMYFUNCTION("""COMPUTED_VALUE"""),"DBP02000269")</f>
        <v>DBP02000269</v>
      </c>
      <c r="B271" s="5" t="str">
        <f>IFERROR(__xludf.DUMMYFUNCTION("""COMPUTED_VALUE"""),"mariawahyudaniar@gmail.com")</f>
        <v>mariawahyudaniar@gmail.com</v>
      </c>
      <c r="C271" s="3">
        <v>222222.0</v>
      </c>
      <c r="D271" s="3" t="s">
        <v>8</v>
      </c>
      <c r="E271" s="3" t="s">
        <v>9</v>
      </c>
      <c r="F271" s="3" t="s">
        <v>10</v>
      </c>
    </row>
    <row r="272">
      <c r="A272" s="5" t="str">
        <f>IFERROR(__xludf.DUMMYFUNCTION("""COMPUTED_VALUE"""),"DBP02000270")</f>
        <v>DBP02000270</v>
      </c>
      <c r="B272" s="5" t="str">
        <f>IFERROR(__xludf.DUMMYFUNCTION("""COMPUTED_VALUE"""),"natasha.elberta@gmail.com")</f>
        <v>natasha.elberta@gmail.com</v>
      </c>
      <c r="C272" s="3">
        <v>222222.0</v>
      </c>
      <c r="D272" s="3" t="s">
        <v>8</v>
      </c>
      <c r="E272" s="3" t="s">
        <v>9</v>
      </c>
      <c r="F272" s="3" t="s">
        <v>10</v>
      </c>
    </row>
    <row r="273">
      <c r="A273" s="5" t="str">
        <f>IFERROR(__xludf.DUMMYFUNCTION("""COMPUTED_VALUE"""),"DBP02000271")</f>
        <v>DBP02000271</v>
      </c>
      <c r="B273" s="5" t="str">
        <f>IFERROR(__xludf.DUMMYFUNCTION("""COMPUTED_VALUE"""),"r.anggaapriyanto@gmail.com")</f>
        <v>r.anggaapriyanto@gmail.com</v>
      </c>
      <c r="C273" s="3">
        <v>222222.0</v>
      </c>
      <c r="D273" s="3" t="s">
        <v>8</v>
      </c>
      <c r="E273" s="3" t="s">
        <v>9</v>
      </c>
      <c r="F273" s="3" t="s">
        <v>10</v>
      </c>
    </row>
    <row r="274">
      <c r="A274" s="5" t="str">
        <f>IFERROR(__xludf.DUMMYFUNCTION("""COMPUTED_VALUE"""),"DBP02000272")</f>
        <v>DBP02000272</v>
      </c>
      <c r="B274" s="5" t="str">
        <f>IFERROR(__xludf.DUMMYFUNCTION("""COMPUTED_VALUE"""),"99mujiburrahman@gmail.com")</f>
        <v>99mujiburrahman@gmail.com</v>
      </c>
      <c r="C274" s="3">
        <v>222222.0</v>
      </c>
      <c r="D274" s="3" t="s">
        <v>8</v>
      </c>
      <c r="E274" s="3" t="s">
        <v>9</v>
      </c>
      <c r="F274" s="3" t="s">
        <v>10</v>
      </c>
    </row>
    <row r="275">
      <c r="A275" s="5" t="str">
        <f>IFERROR(__xludf.DUMMYFUNCTION("""COMPUTED_VALUE"""),"DBP02000273")</f>
        <v>DBP02000273</v>
      </c>
      <c r="B275" s="5" t="str">
        <f>IFERROR(__xludf.DUMMYFUNCTION("""COMPUTED_VALUE"""),"ella.toreh24@gmail.com")</f>
        <v>ella.toreh24@gmail.com</v>
      </c>
      <c r="C275" s="3">
        <v>222222.0</v>
      </c>
      <c r="D275" s="3" t="s">
        <v>8</v>
      </c>
      <c r="E275" s="3" t="s">
        <v>9</v>
      </c>
      <c r="F275" s="3" t="s">
        <v>10</v>
      </c>
    </row>
    <row r="276">
      <c r="A276" s="5" t="str">
        <f>IFERROR(__xludf.DUMMYFUNCTION("""COMPUTED_VALUE"""),"DBP02000274")</f>
        <v>DBP02000274</v>
      </c>
      <c r="B276" s="5" t="str">
        <f>IFERROR(__xludf.DUMMYFUNCTION("""COMPUTED_VALUE"""),"hanabilamadjid@gmail.com")</f>
        <v>hanabilamadjid@gmail.com</v>
      </c>
      <c r="C276" s="3">
        <v>222222.0</v>
      </c>
      <c r="D276" s="3" t="s">
        <v>8</v>
      </c>
      <c r="E276" s="3" t="s">
        <v>9</v>
      </c>
      <c r="F276" s="3" t="s">
        <v>10</v>
      </c>
    </row>
    <row r="277">
      <c r="A277" s="5" t="str">
        <f>IFERROR(__xludf.DUMMYFUNCTION("""COMPUTED_VALUE"""),"DBP02000275")</f>
        <v>DBP02000275</v>
      </c>
      <c r="B277" s="5" t="str">
        <f>IFERROR(__xludf.DUMMYFUNCTION("""COMPUTED_VALUE"""),"tami.mauli@gmail.com")</f>
        <v>tami.mauli@gmail.com</v>
      </c>
      <c r="C277" s="3">
        <v>222222.0</v>
      </c>
      <c r="D277" s="3" t="s">
        <v>8</v>
      </c>
      <c r="E277" s="3" t="s">
        <v>9</v>
      </c>
      <c r="F277" s="3" t="s">
        <v>10</v>
      </c>
    </row>
    <row r="278">
      <c r="A278" s="5" t="str">
        <f>IFERROR(__xludf.DUMMYFUNCTION("""COMPUTED_VALUE"""),"DBP02000276")</f>
        <v>DBP02000276</v>
      </c>
      <c r="B278" s="5" t="str">
        <f>IFERROR(__xludf.DUMMYFUNCTION("""COMPUTED_VALUE"""),"muhfahrulra@gmail.com")</f>
        <v>muhfahrulra@gmail.com</v>
      </c>
      <c r="C278" s="3">
        <v>222222.0</v>
      </c>
      <c r="D278" s="3" t="s">
        <v>8</v>
      </c>
      <c r="E278" s="3" t="s">
        <v>9</v>
      </c>
      <c r="F278" s="3" t="s">
        <v>10</v>
      </c>
    </row>
    <row r="279">
      <c r="A279" s="5" t="str">
        <f>IFERROR(__xludf.DUMMYFUNCTION("""COMPUTED_VALUE"""),"DBP02000277")</f>
        <v>DBP02000277</v>
      </c>
      <c r="B279" s="5" t="str">
        <f>IFERROR(__xludf.DUMMYFUNCTION("""COMPUTED_VALUE"""),"anggraenismela@gmail.com")</f>
        <v>anggraenismela@gmail.com</v>
      </c>
      <c r="C279" s="3">
        <v>222222.0</v>
      </c>
      <c r="D279" s="3" t="s">
        <v>8</v>
      </c>
      <c r="E279" s="3" t="s">
        <v>9</v>
      </c>
      <c r="F279" s="3" t="s">
        <v>10</v>
      </c>
    </row>
    <row r="280">
      <c r="A280" s="5" t="str">
        <f>IFERROR(__xludf.DUMMYFUNCTION("""COMPUTED_VALUE"""),"DBP02000278")</f>
        <v>DBP02000278</v>
      </c>
      <c r="B280" s="5" t="str">
        <f>IFERROR(__xludf.DUMMYFUNCTION("""COMPUTED_VALUE"""),"intanluckyrahayu63@gmail.com")</f>
        <v>intanluckyrahayu63@gmail.com</v>
      </c>
      <c r="C280" s="3">
        <v>222222.0</v>
      </c>
      <c r="D280" s="3" t="s">
        <v>8</v>
      </c>
      <c r="E280" s="3" t="s">
        <v>9</v>
      </c>
      <c r="F280" s="3" t="s">
        <v>10</v>
      </c>
    </row>
    <row r="281">
      <c r="A281" s="5" t="str">
        <f>IFERROR(__xludf.DUMMYFUNCTION("""COMPUTED_VALUE"""),"DBP02000279")</f>
        <v>DBP02000279</v>
      </c>
      <c r="B281" s="5" t="str">
        <f>IFERROR(__xludf.DUMMYFUNCTION("""COMPUTED_VALUE"""),"ticha.octaviani@gmail.com")</f>
        <v>ticha.octaviani@gmail.com</v>
      </c>
      <c r="C281" s="3">
        <v>222222.0</v>
      </c>
      <c r="D281" s="3" t="s">
        <v>8</v>
      </c>
      <c r="E281" s="3" t="s">
        <v>9</v>
      </c>
      <c r="F281" s="3" t="s">
        <v>10</v>
      </c>
    </row>
    <row r="282">
      <c r="A282" s="5" t="str">
        <f>IFERROR(__xludf.DUMMYFUNCTION("""COMPUTED_VALUE"""),"DBP02000280")</f>
        <v>DBP02000280</v>
      </c>
      <c r="B282" s="5" t="str">
        <f>IFERROR(__xludf.DUMMYFUNCTION("""COMPUTED_VALUE"""),"elisabethdesy13@gmail.com")</f>
        <v>elisabethdesy13@gmail.com</v>
      </c>
      <c r="C282" s="3">
        <v>222222.0</v>
      </c>
      <c r="D282" s="3" t="s">
        <v>8</v>
      </c>
      <c r="E282" s="3" t="s">
        <v>9</v>
      </c>
      <c r="F282" s="3" t="s">
        <v>10</v>
      </c>
    </row>
    <row r="283">
      <c r="A283" s="5" t="str">
        <f>IFERROR(__xludf.DUMMYFUNCTION("""COMPUTED_VALUE"""),"DBP02000281")</f>
        <v>DBP02000281</v>
      </c>
      <c r="B283" s="5" t="str">
        <f>IFERROR(__xludf.DUMMYFUNCTION("""COMPUTED_VALUE"""),"elfrachma@gmail.com")</f>
        <v>elfrachma@gmail.com</v>
      </c>
      <c r="C283" s="3">
        <v>222222.0</v>
      </c>
      <c r="D283" s="3" t="s">
        <v>8</v>
      </c>
      <c r="E283" s="3" t="s">
        <v>9</v>
      </c>
      <c r="F283" s="3" t="s">
        <v>10</v>
      </c>
    </row>
    <row r="284">
      <c r="A284" s="5" t="str">
        <f>IFERROR(__xludf.DUMMYFUNCTION("""COMPUTED_VALUE"""),"DBP02000282")</f>
        <v>DBP02000282</v>
      </c>
      <c r="B284" s="5" t="str">
        <f>IFERROR(__xludf.DUMMYFUNCTION("""COMPUTED_VALUE"""),"dedesuryalesmanaskr@gmail.com")</f>
        <v>dedesuryalesmanaskr@gmail.com</v>
      </c>
      <c r="C284" s="3">
        <v>222222.0</v>
      </c>
      <c r="D284" s="3" t="s">
        <v>8</v>
      </c>
      <c r="E284" s="3" t="s">
        <v>9</v>
      </c>
      <c r="F284" s="3" t="s">
        <v>10</v>
      </c>
    </row>
    <row r="285">
      <c r="A285" s="5" t="str">
        <f>IFERROR(__xludf.DUMMYFUNCTION("""COMPUTED_VALUE"""),"DBP02000283")</f>
        <v>DBP02000283</v>
      </c>
      <c r="B285" s="5" t="str">
        <f>IFERROR(__xludf.DUMMYFUNCTION("""COMPUTED_VALUE"""),"dimashafiz21@gmail.com")</f>
        <v>dimashafiz21@gmail.com</v>
      </c>
      <c r="C285" s="3">
        <v>222222.0</v>
      </c>
      <c r="D285" s="3" t="s">
        <v>8</v>
      </c>
      <c r="E285" s="3" t="s">
        <v>9</v>
      </c>
      <c r="F285" s="3" t="s">
        <v>10</v>
      </c>
    </row>
    <row r="286">
      <c r="A286" s="5" t="str">
        <f>IFERROR(__xludf.DUMMYFUNCTION("""COMPUTED_VALUE"""),"DBP02000284")</f>
        <v>DBP02000284</v>
      </c>
      <c r="B286" s="5" t="str">
        <f>IFERROR(__xludf.DUMMYFUNCTION("""COMPUTED_VALUE"""),"danielsochi7@gmail.com")</f>
        <v>danielsochi7@gmail.com</v>
      </c>
      <c r="C286" s="3">
        <v>222222.0</v>
      </c>
      <c r="D286" s="3" t="s">
        <v>8</v>
      </c>
      <c r="E286" s="3" t="s">
        <v>9</v>
      </c>
      <c r="F286" s="3" t="s">
        <v>10</v>
      </c>
    </row>
    <row r="287">
      <c r="A287" s="5" t="str">
        <f>IFERROR(__xludf.DUMMYFUNCTION("""COMPUTED_VALUE"""),"DBP02000285")</f>
        <v>DBP02000285</v>
      </c>
      <c r="B287" s="5" t="str">
        <f>IFERROR(__xludf.DUMMYFUNCTION("""COMPUTED_VALUE"""),"reskiamarta23@gmail.com")</f>
        <v>reskiamarta23@gmail.com</v>
      </c>
      <c r="C287" s="3">
        <v>222222.0</v>
      </c>
      <c r="D287" s="3" t="s">
        <v>8</v>
      </c>
      <c r="E287" s="3" t="s">
        <v>9</v>
      </c>
      <c r="F287" s="3" t="s">
        <v>10</v>
      </c>
    </row>
    <row r="288">
      <c r="A288" s="5" t="str">
        <f>IFERROR(__xludf.DUMMYFUNCTION("""COMPUTED_VALUE"""),"DBP02000286")</f>
        <v>DBP02000286</v>
      </c>
      <c r="B288" s="5" t="str">
        <f>IFERROR(__xludf.DUMMYFUNCTION("""COMPUTED_VALUE"""),"muhimuzakki@gmail.com")</f>
        <v>muhimuzakki@gmail.com</v>
      </c>
      <c r="C288" s="3">
        <v>222222.0</v>
      </c>
      <c r="D288" s="3" t="s">
        <v>8</v>
      </c>
      <c r="E288" s="3" t="s">
        <v>9</v>
      </c>
      <c r="F288" s="3" t="s">
        <v>10</v>
      </c>
    </row>
    <row r="289">
      <c r="A289" s="5" t="str">
        <f>IFERROR(__xludf.DUMMYFUNCTION("""COMPUTED_VALUE"""),"DBP02000287")</f>
        <v>DBP02000287</v>
      </c>
      <c r="B289" s="5" t="str">
        <f>IFERROR(__xludf.DUMMYFUNCTION("""COMPUTED_VALUE"""),"chitra.husnabilqis@gmail.com")</f>
        <v>chitra.husnabilqis@gmail.com</v>
      </c>
      <c r="C289" s="3">
        <v>222222.0</v>
      </c>
      <c r="D289" s="3" t="s">
        <v>8</v>
      </c>
      <c r="E289" s="3" t="s">
        <v>9</v>
      </c>
      <c r="F289" s="3" t="s">
        <v>10</v>
      </c>
    </row>
    <row r="290">
      <c r="A290" s="5" t="str">
        <f>IFERROR(__xludf.DUMMYFUNCTION("""COMPUTED_VALUE"""),"DBP02000288")</f>
        <v>DBP02000288</v>
      </c>
      <c r="B290" s="5" t="str">
        <f>IFERROR(__xludf.DUMMYFUNCTION("""COMPUTED_VALUE"""),"daffaqmemo@gmail.com")</f>
        <v>daffaqmemo@gmail.com</v>
      </c>
      <c r="C290" s="3">
        <v>222222.0</v>
      </c>
      <c r="D290" s="3" t="s">
        <v>8</v>
      </c>
      <c r="E290" s="3" t="s">
        <v>9</v>
      </c>
      <c r="F290" s="3" t="s">
        <v>10</v>
      </c>
    </row>
    <row r="291">
      <c r="A291" s="5" t="str">
        <f>IFERROR(__xludf.DUMMYFUNCTION("""COMPUTED_VALUE"""),"DBP02000289")</f>
        <v>DBP02000289</v>
      </c>
      <c r="B291" s="5" t="str">
        <f>IFERROR(__xludf.DUMMYFUNCTION("""COMPUTED_VALUE"""),"melvianaviolletakimur@gmail.com")</f>
        <v>melvianaviolletakimur@gmail.com</v>
      </c>
      <c r="C291" s="3">
        <v>222222.0</v>
      </c>
      <c r="D291" s="3" t="s">
        <v>8</v>
      </c>
      <c r="E291" s="3" t="s">
        <v>9</v>
      </c>
      <c r="F291" s="3" t="s">
        <v>10</v>
      </c>
    </row>
    <row r="292">
      <c r="A292" s="5" t="str">
        <f>IFERROR(__xludf.DUMMYFUNCTION("""COMPUTED_VALUE"""),"DBP02000290")</f>
        <v>DBP02000290</v>
      </c>
      <c r="B292" s="5" t="str">
        <f>IFERROR(__xludf.DUMMYFUNCTION("""COMPUTED_VALUE"""),"ayudhawaranostra@gmail.com")</f>
        <v>ayudhawaranostra@gmail.com</v>
      </c>
      <c r="C292" s="3">
        <v>222222.0</v>
      </c>
      <c r="D292" s="3" t="s">
        <v>8</v>
      </c>
      <c r="E292" s="3" t="s">
        <v>9</v>
      </c>
      <c r="F292" s="3" t="s">
        <v>10</v>
      </c>
    </row>
    <row r="293">
      <c r="A293" s="5" t="str">
        <f>IFERROR(__xludf.DUMMYFUNCTION("""COMPUTED_VALUE"""),"DBP02000291")</f>
        <v>DBP02000291</v>
      </c>
      <c r="B293" s="5" t="str">
        <f>IFERROR(__xludf.DUMMYFUNCTION("""COMPUTED_VALUE"""),"minati.nuraini@gmail.com")</f>
        <v>minati.nuraini@gmail.com</v>
      </c>
      <c r="C293" s="3">
        <v>222222.0</v>
      </c>
      <c r="D293" s="3" t="s">
        <v>8</v>
      </c>
      <c r="E293" s="3" t="s">
        <v>9</v>
      </c>
      <c r="F293" s="3" t="s">
        <v>10</v>
      </c>
    </row>
    <row r="294">
      <c r="A294" s="5" t="str">
        <f>IFERROR(__xludf.DUMMYFUNCTION("""COMPUTED_VALUE"""),"DBP02000292")</f>
        <v>DBP02000292</v>
      </c>
      <c r="B294" s="5" t="str">
        <f>IFERROR(__xludf.DUMMYFUNCTION("""COMPUTED_VALUE"""),"salmatalithas@gmail.com")</f>
        <v>salmatalithas@gmail.com</v>
      </c>
      <c r="C294" s="3">
        <v>222222.0</v>
      </c>
      <c r="D294" s="3" t="s">
        <v>8</v>
      </c>
      <c r="E294" s="3" t="s">
        <v>9</v>
      </c>
      <c r="F294" s="3" t="s">
        <v>10</v>
      </c>
    </row>
    <row r="295">
      <c r="A295" s="5" t="str">
        <f>IFERROR(__xludf.DUMMYFUNCTION("""COMPUTED_VALUE"""),"DBP02000293")</f>
        <v>DBP02000293</v>
      </c>
      <c r="B295" s="5" t="str">
        <f>IFERROR(__xludf.DUMMYFUNCTION("""COMPUTED_VALUE"""),"najlaharza16@gmail.com")</f>
        <v>najlaharza16@gmail.com</v>
      </c>
      <c r="C295" s="3">
        <v>222222.0</v>
      </c>
      <c r="D295" s="3" t="s">
        <v>8</v>
      </c>
      <c r="E295" s="3" t="s">
        <v>9</v>
      </c>
      <c r="F295" s="3" t="s">
        <v>10</v>
      </c>
    </row>
    <row r="296">
      <c r="A296" s="5" t="str">
        <f>IFERROR(__xludf.DUMMYFUNCTION("""COMPUTED_VALUE"""),"DBP02000294")</f>
        <v>DBP02000294</v>
      </c>
      <c r="B296" s="5" t="str">
        <f>IFERROR(__xludf.DUMMYFUNCTION("""COMPUTED_VALUE"""),"fachrezaidil@gmail.com")</f>
        <v>fachrezaidil@gmail.com</v>
      </c>
      <c r="C296" s="3">
        <v>222222.0</v>
      </c>
      <c r="D296" s="3" t="s">
        <v>8</v>
      </c>
      <c r="E296" s="3" t="s">
        <v>9</v>
      </c>
      <c r="F296" s="3" t="s">
        <v>10</v>
      </c>
    </row>
    <row r="297">
      <c r="A297" s="5" t="str">
        <f>IFERROR(__xludf.DUMMYFUNCTION("""COMPUTED_VALUE"""),"DBP02000295")</f>
        <v>DBP02000295</v>
      </c>
      <c r="B297" s="5" t="str">
        <f>IFERROR(__xludf.DUMMYFUNCTION("""COMPUTED_VALUE"""),"nabilawdyputri@gmail.com")</f>
        <v>nabilawdyputri@gmail.com</v>
      </c>
      <c r="C297" s="3">
        <v>222222.0</v>
      </c>
      <c r="D297" s="3" t="s">
        <v>8</v>
      </c>
      <c r="E297" s="3" t="s">
        <v>9</v>
      </c>
      <c r="F297" s="3" t="s">
        <v>10</v>
      </c>
    </row>
    <row r="298">
      <c r="A298" s="5" t="str">
        <f>IFERROR(__xludf.DUMMYFUNCTION("""COMPUTED_VALUE"""),"DBP02000296")</f>
        <v>DBP02000296</v>
      </c>
      <c r="B298" s="5" t="str">
        <f>IFERROR(__xludf.DUMMYFUNCTION("""COMPUTED_VALUE"""),"dwianto110@gmail.com")</f>
        <v>dwianto110@gmail.com</v>
      </c>
      <c r="C298" s="3">
        <v>222222.0</v>
      </c>
      <c r="D298" s="3" t="s">
        <v>8</v>
      </c>
      <c r="E298" s="3" t="s">
        <v>9</v>
      </c>
      <c r="F298" s="3" t="s">
        <v>10</v>
      </c>
    </row>
    <row r="299">
      <c r="A299" s="5" t="str">
        <f>IFERROR(__xludf.DUMMYFUNCTION("""COMPUTED_VALUE"""),"DBP02000297")</f>
        <v>DBP02000297</v>
      </c>
      <c r="B299" s="5" t="str">
        <f>IFERROR(__xludf.DUMMYFUNCTION("""COMPUTED_VALUE"""),"titanialmy@gmail.com")</f>
        <v>titanialmy@gmail.com</v>
      </c>
      <c r="C299" s="3">
        <v>222222.0</v>
      </c>
      <c r="D299" s="3" t="s">
        <v>8</v>
      </c>
      <c r="E299" s="3" t="s">
        <v>9</v>
      </c>
      <c r="F299" s="3" t="s">
        <v>10</v>
      </c>
    </row>
    <row r="300">
      <c r="A300" s="5" t="str">
        <f>IFERROR(__xludf.DUMMYFUNCTION("""COMPUTED_VALUE"""),"DBP02000298")</f>
        <v>DBP02000298</v>
      </c>
      <c r="B300" s="5" t="str">
        <f>IFERROR(__xludf.DUMMYFUNCTION("""COMPUTED_VALUE"""),"claritagultom@gmail.com")</f>
        <v>claritagultom@gmail.com</v>
      </c>
      <c r="C300" s="3">
        <v>222222.0</v>
      </c>
      <c r="D300" s="3" t="s">
        <v>8</v>
      </c>
      <c r="E300" s="3" t="s">
        <v>9</v>
      </c>
      <c r="F300" s="3" t="s">
        <v>10</v>
      </c>
    </row>
    <row r="301">
      <c r="A301" s="5" t="str">
        <f>IFERROR(__xludf.DUMMYFUNCTION("""COMPUTED_VALUE"""),"DBP02000299")</f>
        <v>DBP02000299</v>
      </c>
      <c r="B301" s="5" t="str">
        <f>IFERROR(__xludf.DUMMYFUNCTION("""COMPUTED_VALUE"""),"putudantamy@gmail.com")</f>
        <v>putudantamy@gmail.com</v>
      </c>
      <c r="C301" s="3">
        <v>222222.0</v>
      </c>
      <c r="D301" s="3" t="s">
        <v>8</v>
      </c>
      <c r="E301" s="3" t="s">
        <v>9</v>
      </c>
      <c r="F301" s="3" t="s">
        <v>10</v>
      </c>
    </row>
    <row r="302">
      <c r="A302" s="5" t="str">
        <f>IFERROR(__xludf.DUMMYFUNCTION("""COMPUTED_VALUE"""),"DBP02000300")</f>
        <v>DBP02000300</v>
      </c>
      <c r="B302" s="5" t="str">
        <f>IFERROR(__xludf.DUMMYFUNCTION("""COMPUTED_VALUE"""),"arifinnasution.ui@gmail.com")</f>
        <v>arifinnasution.ui@gmail.com</v>
      </c>
      <c r="C302" s="3">
        <v>222222.0</v>
      </c>
      <c r="D302" s="3" t="s">
        <v>8</v>
      </c>
      <c r="E302" s="3" t="s">
        <v>9</v>
      </c>
      <c r="F302" s="3" t="s">
        <v>10</v>
      </c>
    </row>
    <row r="303">
      <c r="A303" s="5" t="str">
        <f>IFERROR(__xludf.DUMMYFUNCTION("""COMPUTED_VALUE"""),"DBP02000301")</f>
        <v>DBP02000301</v>
      </c>
      <c r="B303" s="5" t="str">
        <f>IFERROR(__xludf.DUMMYFUNCTION("""COMPUTED_VALUE"""),"siahaandavid0@gmail.com")</f>
        <v>siahaandavid0@gmail.com</v>
      </c>
      <c r="C303" s="3">
        <v>222222.0</v>
      </c>
      <c r="D303" s="3" t="s">
        <v>8</v>
      </c>
      <c r="E303" s="3" t="s">
        <v>9</v>
      </c>
      <c r="F303" s="3" t="s">
        <v>10</v>
      </c>
    </row>
    <row r="304">
      <c r="A304" s="5" t="str">
        <f>IFERROR(__xludf.DUMMYFUNCTION("""COMPUTED_VALUE"""),"DBP02000302")</f>
        <v>DBP02000302</v>
      </c>
      <c r="B304" s="5" t="str">
        <f>IFERROR(__xludf.DUMMYFUNCTION("""COMPUTED_VALUE"""),"reginafortunatasalim777@gmail.com")</f>
        <v>reginafortunatasalim777@gmail.com</v>
      </c>
      <c r="C304" s="3">
        <v>222222.0</v>
      </c>
      <c r="D304" s="3" t="s">
        <v>8</v>
      </c>
      <c r="E304" s="3" t="s">
        <v>9</v>
      </c>
      <c r="F304" s="3" t="s">
        <v>10</v>
      </c>
    </row>
    <row r="305">
      <c r="A305" s="5" t="str">
        <f>IFERROR(__xludf.DUMMYFUNCTION("""COMPUTED_VALUE"""),"DBP02000303")</f>
        <v>DBP02000303</v>
      </c>
      <c r="B305" s="5" t="str">
        <f>IFERROR(__xludf.DUMMYFUNCTION("""COMPUTED_VALUE"""),"fainunnabila17@gmail.com")</f>
        <v>fainunnabila17@gmail.com</v>
      </c>
      <c r="C305" s="3">
        <v>222222.0</v>
      </c>
      <c r="D305" s="3" t="s">
        <v>8</v>
      </c>
      <c r="E305" s="3" t="s">
        <v>9</v>
      </c>
      <c r="F305" s="3" t="s">
        <v>10</v>
      </c>
    </row>
    <row r="306">
      <c r="A306" s="5" t="str">
        <f>IFERROR(__xludf.DUMMYFUNCTION("""COMPUTED_VALUE"""),"DBP02000304")</f>
        <v>DBP02000304</v>
      </c>
      <c r="B306" s="5" t="str">
        <f>IFERROR(__xludf.DUMMYFUNCTION("""COMPUTED_VALUE"""),"michaellucky719@gmail.com")</f>
        <v>michaellucky719@gmail.com</v>
      </c>
      <c r="C306" s="3">
        <v>222222.0</v>
      </c>
      <c r="D306" s="3" t="s">
        <v>8</v>
      </c>
      <c r="E306" s="3" t="s">
        <v>9</v>
      </c>
      <c r="F306" s="3" t="s">
        <v>10</v>
      </c>
    </row>
    <row r="307">
      <c r="A307" s="5" t="str">
        <f>IFERROR(__xludf.DUMMYFUNCTION("""COMPUTED_VALUE"""),"DBP02000305")</f>
        <v>DBP02000305</v>
      </c>
      <c r="B307" s="5" t="str">
        <f>IFERROR(__xludf.DUMMYFUNCTION("""COMPUTED_VALUE"""),"raihansyah210101@gmail.com")</f>
        <v>raihansyah210101@gmail.com</v>
      </c>
      <c r="C307" s="3">
        <v>222222.0</v>
      </c>
      <c r="D307" s="3" t="s">
        <v>8</v>
      </c>
      <c r="E307" s="3" t="s">
        <v>9</v>
      </c>
      <c r="F307" s="3" t="s">
        <v>10</v>
      </c>
    </row>
    <row r="308">
      <c r="A308" s="5" t="str">
        <f>IFERROR(__xludf.DUMMYFUNCTION("""COMPUTED_VALUE"""),"DBP02000306")</f>
        <v>DBP02000306</v>
      </c>
      <c r="B308" s="5" t="str">
        <f>IFERROR(__xludf.DUMMYFUNCTION("""COMPUTED_VALUE"""),"ilhamrr246@gmail.com")</f>
        <v>ilhamrr246@gmail.com</v>
      </c>
      <c r="C308" s="3">
        <v>222222.0</v>
      </c>
      <c r="D308" s="3" t="s">
        <v>8</v>
      </c>
      <c r="E308" s="3" t="s">
        <v>9</v>
      </c>
      <c r="F308" s="3" t="s">
        <v>10</v>
      </c>
    </row>
    <row r="309">
      <c r="A309" s="5" t="str">
        <f>IFERROR(__xludf.DUMMYFUNCTION("""COMPUTED_VALUE"""),"DBP02000307")</f>
        <v>DBP02000307</v>
      </c>
      <c r="B309" s="5" t="str">
        <f>IFERROR(__xludf.DUMMYFUNCTION("""COMPUTED_VALUE"""),"ruthp.saragih@gmail.com")</f>
        <v>ruthp.saragih@gmail.com</v>
      </c>
      <c r="C309" s="3">
        <v>222222.0</v>
      </c>
      <c r="D309" s="3" t="s">
        <v>8</v>
      </c>
      <c r="E309" s="3" t="s">
        <v>9</v>
      </c>
      <c r="F309" s="3" t="s">
        <v>10</v>
      </c>
    </row>
    <row r="310">
      <c r="A310" s="5" t="str">
        <f>IFERROR(__xludf.DUMMYFUNCTION("""COMPUTED_VALUE"""),"DBP02000308")</f>
        <v>DBP02000308</v>
      </c>
      <c r="B310" s="5" t="str">
        <f>IFERROR(__xludf.DUMMYFUNCTION("""COMPUTED_VALUE"""),"fasyanisa05@gmail.com")</f>
        <v>fasyanisa05@gmail.com</v>
      </c>
      <c r="C310" s="3">
        <v>222222.0</v>
      </c>
      <c r="D310" s="3" t="s">
        <v>8</v>
      </c>
      <c r="E310" s="3" t="s">
        <v>9</v>
      </c>
      <c r="F310" s="3" t="s">
        <v>10</v>
      </c>
    </row>
    <row r="311">
      <c r="A311" s="5" t="str">
        <f>IFERROR(__xludf.DUMMYFUNCTION("""COMPUTED_VALUE"""),"DBP02000309")</f>
        <v>DBP02000309</v>
      </c>
      <c r="B311" s="5" t="str">
        <f>IFERROR(__xludf.DUMMYFUNCTION("""COMPUTED_VALUE"""),"herwinawr0101@gmail.com")</f>
        <v>herwinawr0101@gmail.com</v>
      </c>
      <c r="C311" s="3">
        <v>222222.0</v>
      </c>
      <c r="D311" s="3" t="s">
        <v>8</v>
      </c>
      <c r="E311" s="3" t="s">
        <v>9</v>
      </c>
      <c r="F311" s="3" t="s">
        <v>10</v>
      </c>
    </row>
    <row r="312">
      <c r="A312" s="5" t="str">
        <f>IFERROR(__xludf.DUMMYFUNCTION("""COMPUTED_VALUE"""),"DBP02000310")</f>
        <v>DBP02000310</v>
      </c>
      <c r="B312" s="5" t="str">
        <f>IFERROR(__xludf.DUMMYFUNCTION("""COMPUTED_VALUE"""),"natashamariska1912@gmail.com")</f>
        <v>natashamariska1912@gmail.com</v>
      </c>
      <c r="C312" s="3">
        <v>222222.0</v>
      </c>
      <c r="D312" s="3" t="s">
        <v>8</v>
      </c>
      <c r="E312" s="3" t="s">
        <v>9</v>
      </c>
      <c r="F312" s="3" t="s">
        <v>10</v>
      </c>
    </row>
    <row r="313">
      <c r="A313" s="5" t="str">
        <f>IFERROR(__xludf.DUMMYFUNCTION("""COMPUTED_VALUE"""),"DBP02000311")</f>
        <v>DBP02000311</v>
      </c>
      <c r="B313" s="5" t="str">
        <f>IFERROR(__xludf.DUMMYFUNCTION("""COMPUTED_VALUE"""),"iyorimelis@gmail.com")</f>
        <v>iyorimelis@gmail.com</v>
      </c>
      <c r="C313" s="3">
        <v>222222.0</v>
      </c>
      <c r="D313" s="3" t="s">
        <v>8</v>
      </c>
      <c r="E313" s="3" t="s">
        <v>9</v>
      </c>
      <c r="F313" s="3" t="s">
        <v>10</v>
      </c>
    </row>
    <row r="314">
      <c r="A314" s="5" t="str">
        <f>IFERROR(__xludf.DUMMYFUNCTION("""COMPUTED_VALUE"""),"DBP02000312")</f>
        <v>DBP02000312</v>
      </c>
      <c r="B314" s="5" t="str">
        <f>IFERROR(__xludf.DUMMYFUNCTION("""COMPUTED_VALUE"""),"mustofa81@guru.smp.belajar.id")</f>
        <v>mustofa81@guru.smp.belajar.id</v>
      </c>
      <c r="C314" s="3">
        <v>222222.0</v>
      </c>
      <c r="D314" s="3" t="s">
        <v>8</v>
      </c>
      <c r="E314" s="3" t="s">
        <v>9</v>
      </c>
      <c r="F314" s="3" t="s">
        <v>10</v>
      </c>
    </row>
    <row r="315">
      <c r="A315" s="5" t="str">
        <f>IFERROR(__xludf.DUMMYFUNCTION("""COMPUTED_VALUE"""),"DBP02000313")</f>
        <v>DBP02000313</v>
      </c>
      <c r="B315" s="5" t="str">
        <f>IFERROR(__xludf.DUMMYFUNCTION("""COMPUTED_VALUE"""),"imamnasichuddin42@guru.sd.belajar.id")</f>
        <v>imamnasichuddin42@guru.sd.belajar.id</v>
      </c>
      <c r="C315" s="3">
        <v>222222.0</v>
      </c>
      <c r="D315" s="3" t="s">
        <v>8</v>
      </c>
      <c r="E315" s="3" t="s">
        <v>9</v>
      </c>
      <c r="F315" s="3" t="s">
        <v>10</v>
      </c>
    </row>
    <row r="316">
      <c r="A316" s="5" t="str">
        <f>IFERROR(__xludf.DUMMYFUNCTION("""COMPUTED_VALUE"""),"DBP02000314")</f>
        <v>DBP02000314</v>
      </c>
      <c r="B316" s="5" t="str">
        <f>IFERROR(__xludf.DUMMYFUNCTION("""COMPUTED_VALUE"""),"canises@gmail.com")</f>
        <v>canises@gmail.com</v>
      </c>
      <c r="C316" s="3">
        <v>222222.0</v>
      </c>
      <c r="D316" s="3" t="s">
        <v>8</v>
      </c>
      <c r="E316" s="3" t="s">
        <v>9</v>
      </c>
      <c r="F316" s="3" t="s">
        <v>10</v>
      </c>
    </row>
    <row r="317">
      <c r="A317" s="5" t="str">
        <f>IFERROR(__xludf.DUMMYFUNCTION("""COMPUTED_VALUE"""),"DBP02000315")</f>
        <v>DBP02000315</v>
      </c>
      <c r="B317" s="5" t="str">
        <f>IFERROR(__xludf.DUMMYFUNCTION("""COMPUTED_VALUE"""),"karno.kelik@gmail.com")</f>
        <v>karno.kelik@gmail.com</v>
      </c>
      <c r="C317" s="3">
        <v>222222.0</v>
      </c>
      <c r="D317" s="3" t="s">
        <v>8</v>
      </c>
      <c r="E317" s="3" t="s">
        <v>9</v>
      </c>
      <c r="F317" s="3" t="s">
        <v>10</v>
      </c>
    </row>
    <row r="318">
      <c r="A318" s="5" t="str">
        <f>IFERROR(__xludf.DUMMYFUNCTION("""COMPUTED_VALUE"""),"DBP02000316")</f>
        <v>DBP02000316</v>
      </c>
      <c r="B318" s="5" t="str">
        <f>IFERROR(__xludf.DUMMYFUNCTION("""COMPUTED_VALUE"""),"choirjmy07@gmail.com")</f>
        <v>choirjmy07@gmail.com</v>
      </c>
      <c r="C318" s="3">
        <v>222222.0</v>
      </c>
      <c r="D318" s="3" t="s">
        <v>8</v>
      </c>
      <c r="E318" s="3" t="s">
        <v>9</v>
      </c>
      <c r="F318" s="3" t="s">
        <v>10</v>
      </c>
    </row>
    <row r="319">
      <c r="A319" s="5" t="str">
        <f>IFERROR(__xludf.DUMMYFUNCTION("""COMPUTED_VALUE"""),"DBP02000317")</f>
        <v>DBP02000317</v>
      </c>
      <c r="B319" s="5" t="str">
        <f>IFERROR(__xludf.DUMMYFUNCTION("""COMPUTED_VALUE"""),"ditaseptian08@gmail.com")</f>
        <v>ditaseptian08@gmail.com</v>
      </c>
      <c r="C319" s="3">
        <v>222222.0</v>
      </c>
      <c r="D319" s="3" t="s">
        <v>8</v>
      </c>
      <c r="E319" s="3" t="s">
        <v>9</v>
      </c>
      <c r="F319" s="3" t="s">
        <v>10</v>
      </c>
    </row>
    <row r="320">
      <c r="A320" s="5" t="str">
        <f>IFERROR(__xludf.DUMMYFUNCTION("""COMPUTED_VALUE"""),"DBP02000318")</f>
        <v>DBP02000318</v>
      </c>
      <c r="B320" s="5" t="str">
        <f>IFERROR(__xludf.DUMMYFUNCTION("""COMPUTED_VALUE"""),"21e10186@student.unika.ac.id")</f>
        <v>21e10186@student.unika.ac.id</v>
      </c>
      <c r="C320" s="3">
        <v>222222.0</v>
      </c>
      <c r="D320" s="3" t="s">
        <v>8</v>
      </c>
      <c r="E320" s="3" t="s">
        <v>9</v>
      </c>
      <c r="F320" s="3" t="s">
        <v>10</v>
      </c>
    </row>
    <row r="321">
      <c r="A321" s="5" t="str">
        <f>IFERROR(__xludf.DUMMYFUNCTION("""COMPUTED_VALUE"""),"DBP02000319")</f>
        <v>DBP02000319</v>
      </c>
      <c r="B321" s="5" t="str">
        <f>IFERROR(__xludf.DUMMYFUNCTION("""COMPUTED_VALUE"""),"refimeiliaaryani55@gmail.com")</f>
        <v>refimeiliaaryani55@gmail.com</v>
      </c>
      <c r="C321" s="3">
        <v>222222.0</v>
      </c>
      <c r="D321" s="3" t="s">
        <v>8</v>
      </c>
      <c r="E321" s="3" t="s">
        <v>9</v>
      </c>
      <c r="F321" s="3" t="s">
        <v>10</v>
      </c>
    </row>
    <row r="322">
      <c r="A322" s="5" t="str">
        <f>IFERROR(__xludf.DUMMYFUNCTION("""COMPUTED_VALUE"""),"DBP02000320")</f>
        <v>DBP02000320</v>
      </c>
      <c r="B322" s="5" t="str">
        <f>IFERROR(__xludf.DUMMYFUNCTION("""COMPUTED_VALUE"""),"nadiyanizhr@gmail.com")</f>
        <v>nadiyanizhr@gmail.com</v>
      </c>
      <c r="C322" s="3">
        <v>222222.0</v>
      </c>
      <c r="D322" s="3" t="s">
        <v>8</v>
      </c>
      <c r="E322" s="3" t="s">
        <v>9</v>
      </c>
      <c r="F322" s="3" t="s">
        <v>10</v>
      </c>
    </row>
    <row r="323">
      <c r="A323" s="5" t="str">
        <f>IFERROR(__xludf.DUMMYFUNCTION("""COMPUTED_VALUE"""),"DBP02000321")</f>
        <v>DBP02000321</v>
      </c>
      <c r="B323" s="5" t="str">
        <f>IFERROR(__xludf.DUMMYFUNCTION("""COMPUTED_VALUE"""),"martinmanurung13@gmail.com")</f>
        <v>martinmanurung13@gmail.com</v>
      </c>
      <c r="C323" s="3">
        <v>222222.0</v>
      </c>
      <c r="D323" s="3" t="s">
        <v>8</v>
      </c>
      <c r="E323" s="3" t="s">
        <v>9</v>
      </c>
      <c r="F323" s="3" t="s">
        <v>10</v>
      </c>
    </row>
    <row r="324">
      <c r="A324" s="5" t="str">
        <f>IFERROR(__xludf.DUMMYFUNCTION("""COMPUTED_VALUE"""),"DBP02000322")</f>
        <v>DBP02000322</v>
      </c>
      <c r="B324" s="5" t="str">
        <f>IFERROR(__xludf.DUMMYFUNCTION("""COMPUTED_VALUE"""),"irawancitradewi@gmail.com")</f>
        <v>irawancitradewi@gmail.com</v>
      </c>
      <c r="C324" s="3">
        <v>222222.0</v>
      </c>
      <c r="D324" s="3" t="s">
        <v>8</v>
      </c>
      <c r="E324" s="3" t="s">
        <v>9</v>
      </c>
      <c r="F324" s="3" t="s">
        <v>10</v>
      </c>
    </row>
    <row r="325">
      <c r="A325" s="5" t="str">
        <f>IFERROR(__xludf.DUMMYFUNCTION("""COMPUTED_VALUE"""),"DBP02000323")</f>
        <v>DBP02000323</v>
      </c>
      <c r="B325" s="5" t="str">
        <f>IFERROR(__xludf.DUMMYFUNCTION("""COMPUTED_VALUE"""),"ktp00002@gmail.com")</f>
        <v>ktp00002@gmail.com</v>
      </c>
      <c r="C325" s="3">
        <v>222222.0</v>
      </c>
      <c r="D325" s="3" t="s">
        <v>8</v>
      </c>
      <c r="E325" s="3" t="s">
        <v>9</v>
      </c>
      <c r="F325" s="3" t="s">
        <v>10</v>
      </c>
    </row>
    <row r="326">
      <c r="A326" s="5" t="str">
        <f>IFERROR(__xludf.DUMMYFUNCTION("""COMPUTED_VALUE"""),"DBP02000324")</f>
        <v>DBP02000324</v>
      </c>
      <c r="B326" s="5" t="str">
        <f>IFERROR(__xludf.DUMMYFUNCTION("""COMPUTED_VALUE"""),"faisalabdulmuhsin@gmail.com")</f>
        <v>faisalabdulmuhsin@gmail.com</v>
      </c>
      <c r="C326" s="3">
        <v>222222.0</v>
      </c>
      <c r="D326" s="3" t="s">
        <v>8</v>
      </c>
      <c r="E326" s="3" t="s">
        <v>9</v>
      </c>
      <c r="F326" s="3" t="s">
        <v>10</v>
      </c>
    </row>
    <row r="327">
      <c r="A327" s="5" t="str">
        <f>IFERROR(__xludf.DUMMYFUNCTION("""COMPUTED_VALUE"""),"DBP02000325")</f>
        <v>DBP02000325</v>
      </c>
      <c r="B327" s="5" t="str">
        <f>IFERROR(__xludf.DUMMYFUNCTION("""COMPUTED_VALUE"""),"jihanoctavia1136@gmail.com")</f>
        <v>jihanoctavia1136@gmail.com</v>
      </c>
      <c r="C327" s="3">
        <v>222222.0</v>
      </c>
      <c r="D327" s="3" t="s">
        <v>8</v>
      </c>
      <c r="E327" s="3" t="s">
        <v>9</v>
      </c>
      <c r="F327" s="3" t="s">
        <v>10</v>
      </c>
    </row>
    <row r="328">
      <c r="A328" s="5" t="str">
        <f>IFERROR(__xludf.DUMMYFUNCTION("""COMPUTED_VALUE"""),"DBP02000326")</f>
        <v>DBP02000326</v>
      </c>
      <c r="B328" s="5" t="str">
        <f>IFERROR(__xludf.DUMMYFUNCTION("""COMPUTED_VALUE"""),"nandaslv2@gmail.com")</f>
        <v>nandaslv2@gmail.com</v>
      </c>
      <c r="C328" s="3">
        <v>222222.0</v>
      </c>
      <c r="D328" s="3" t="s">
        <v>8</v>
      </c>
      <c r="E328" s="3" t="s">
        <v>9</v>
      </c>
      <c r="F328" s="3" t="s">
        <v>10</v>
      </c>
    </row>
    <row r="329">
      <c r="A329" s="5" t="str">
        <f>IFERROR(__xludf.DUMMYFUNCTION("""COMPUTED_VALUE"""),"DBP02000327")</f>
        <v>DBP02000327</v>
      </c>
      <c r="B329" s="5" t="str">
        <f>IFERROR(__xludf.DUMMYFUNCTION("""COMPUTED_VALUE"""),"rikatiyass21@gmail.com")</f>
        <v>rikatiyass21@gmail.com</v>
      </c>
      <c r="C329" s="3">
        <v>222222.0</v>
      </c>
      <c r="D329" s="3" t="s">
        <v>8</v>
      </c>
      <c r="E329" s="3" t="s">
        <v>9</v>
      </c>
      <c r="F329" s="3" t="s">
        <v>10</v>
      </c>
    </row>
    <row r="330">
      <c r="A330" s="5" t="str">
        <f>IFERROR(__xludf.DUMMYFUNCTION("""COMPUTED_VALUE"""),"DBP02000328")</f>
        <v>DBP02000328</v>
      </c>
      <c r="B330" s="5" t="str">
        <f>IFERROR(__xludf.DUMMYFUNCTION("""COMPUTED_VALUE"""),"realhestiamanda@gmail.com")</f>
        <v>realhestiamanda@gmail.com</v>
      </c>
      <c r="C330" s="3">
        <v>222222.0</v>
      </c>
      <c r="D330" s="3" t="s">
        <v>8</v>
      </c>
      <c r="E330" s="3" t="s">
        <v>9</v>
      </c>
      <c r="F330" s="3" t="s">
        <v>10</v>
      </c>
    </row>
    <row r="331">
      <c r="A331" s="5" t="str">
        <f>IFERROR(__xludf.DUMMYFUNCTION("""COMPUTED_VALUE"""),"DBP02000329")</f>
        <v>DBP02000329</v>
      </c>
      <c r="B331" s="5" t="str">
        <f>IFERROR(__xludf.DUMMYFUNCTION("""COMPUTED_VALUE"""),"anggaardixx@gmail.com")</f>
        <v>anggaardixx@gmail.com</v>
      </c>
      <c r="C331" s="3">
        <v>222222.0</v>
      </c>
      <c r="D331" s="3" t="s">
        <v>8</v>
      </c>
      <c r="E331" s="3" t="s">
        <v>9</v>
      </c>
      <c r="F331" s="3" t="s">
        <v>10</v>
      </c>
    </row>
    <row r="332">
      <c r="A332" s="5" t="str">
        <f>IFERROR(__xludf.DUMMYFUNCTION("""COMPUTED_VALUE"""),"DBP02000330")</f>
        <v>DBP02000330</v>
      </c>
      <c r="B332" s="5" t="str">
        <f>IFERROR(__xludf.DUMMYFUNCTION("""COMPUTED_VALUE"""),"ranggadwi16@gmail.com")</f>
        <v>ranggadwi16@gmail.com</v>
      </c>
      <c r="C332" s="3">
        <v>222222.0</v>
      </c>
      <c r="D332" s="3" t="s">
        <v>8</v>
      </c>
      <c r="E332" s="3" t="s">
        <v>9</v>
      </c>
      <c r="F332" s="3" t="s">
        <v>10</v>
      </c>
    </row>
    <row r="333">
      <c r="A333" s="5" t="str">
        <f>IFERROR(__xludf.DUMMYFUNCTION("""COMPUTED_VALUE"""),"DBP02000331")</f>
        <v>DBP02000331</v>
      </c>
      <c r="B333" s="5" t="str">
        <f>IFERROR(__xludf.DUMMYFUNCTION("""COMPUTED_VALUE"""),"reihanalavi@gmail.com")</f>
        <v>reihanalavi@gmail.com</v>
      </c>
      <c r="C333" s="3">
        <v>222222.0</v>
      </c>
      <c r="D333" s="3" t="s">
        <v>8</v>
      </c>
      <c r="E333" s="3" t="s">
        <v>9</v>
      </c>
      <c r="F333" s="3" t="s">
        <v>10</v>
      </c>
    </row>
    <row r="334">
      <c r="A334" s="5" t="str">
        <f>IFERROR(__xludf.DUMMYFUNCTION("""COMPUTED_VALUE"""),"DBP02000332")</f>
        <v>DBP02000332</v>
      </c>
      <c r="B334" s="5" t="str">
        <f>IFERROR(__xludf.DUMMYFUNCTION("""COMPUTED_VALUE"""),"fadhlijambi11@gmail.com")</f>
        <v>fadhlijambi11@gmail.com</v>
      </c>
      <c r="C334" s="3">
        <v>222222.0</v>
      </c>
      <c r="D334" s="3" t="s">
        <v>8</v>
      </c>
      <c r="E334" s="3" t="s">
        <v>9</v>
      </c>
      <c r="F334" s="3" t="s">
        <v>10</v>
      </c>
    </row>
    <row r="335">
      <c r="A335" s="5" t="str">
        <f>IFERROR(__xludf.DUMMYFUNCTION("""COMPUTED_VALUE"""),"DBP02000333")</f>
        <v>DBP02000333</v>
      </c>
      <c r="B335" s="5" t="str">
        <f>IFERROR(__xludf.DUMMYFUNCTION("""COMPUTED_VALUE"""),"mmhaikal96@gmail.com")</f>
        <v>mmhaikal96@gmail.com</v>
      </c>
      <c r="C335" s="3">
        <v>222222.0</v>
      </c>
      <c r="D335" s="3" t="s">
        <v>8</v>
      </c>
      <c r="E335" s="3" t="s">
        <v>9</v>
      </c>
      <c r="F335" s="3" t="s">
        <v>10</v>
      </c>
    </row>
    <row r="336">
      <c r="A336" s="5" t="str">
        <f>IFERROR(__xludf.DUMMYFUNCTION("""COMPUTED_VALUE"""),"DBP02000334")</f>
        <v>DBP02000334</v>
      </c>
      <c r="B336" s="5" t="str">
        <f>IFERROR(__xludf.DUMMYFUNCTION("""COMPUTED_VALUE"""),"yasminfadhilaa@gmail.com")</f>
        <v>yasminfadhilaa@gmail.com</v>
      </c>
      <c r="C336" s="3">
        <v>222222.0</v>
      </c>
      <c r="D336" s="3" t="s">
        <v>8</v>
      </c>
      <c r="E336" s="3" t="s">
        <v>9</v>
      </c>
      <c r="F336" s="3" t="s">
        <v>10</v>
      </c>
    </row>
    <row r="337">
      <c r="A337" s="5" t="str">
        <f>IFERROR(__xludf.DUMMYFUNCTION("""COMPUTED_VALUE"""),"DBP02000335")</f>
        <v>DBP02000335</v>
      </c>
      <c r="B337" s="5" t="str">
        <f>IFERROR(__xludf.DUMMYFUNCTION("""COMPUTED_VALUE"""),"fiekafaidunn@gmail.com")</f>
        <v>fiekafaidunn@gmail.com</v>
      </c>
      <c r="C337" s="3">
        <v>222222.0</v>
      </c>
      <c r="D337" s="3" t="s">
        <v>8</v>
      </c>
      <c r="E337" s="3" t="s">
        <v>9</v>
      </c>
      <c r="F337" s="3" t="s">
        <v>10</v>
      </c>
    </row>
    <row r="338">
      <c r="A338" s="5" t="str">
        <f>IFERROR(__xludf.DUMMYFUNCTION("""COMPUTED_VALUE"""),"DBP02000336")</f>
        <v>DBP02000336</v>
      </c>
      <c r="B338" s="5" t="str">
        <f>IFERROR(__xludf.DUMMYFUNCTION("""COMPUTED_VALUE"""),"aprilia.ellena@gmail.com")</f>
        <v>aprilia.ellena@gmail.com</v>
      </c>
      <c r="C338" s="3">
        <v>222222.0</v>
      </c>
      <c r="D338" s="3" t="s">
        <v>8</v>
      </c>
      <c r="E338" s="3" t="s">
        <v>9</v>
      </c>
      <c r="F338" s="3" t="s">
        <v>10</v>
      </c>
    </row>
    <row r="339">
      <c r="A339" s="5" t="str">
        <f>IFERROR(__xludf.DUMMYFUNCTION("""COMPUTED_VALUE"""),"DBP02000337")</f>
        <v>DBP02000337</v>
      </c>
      <c r="B339" s="5" t="str">
        <f>IFERROR(__xludf.DUMMYFUNCTION("""COMPUTED_VALUE"""),"rafifdimas1803@gmail.com")</f>
        <v>rafifdimas1803@gmail.com</v>
      </c>
      <c r="C339" s="3">
        <v>222222.0</v>
      </c>
      <c r="D339" s="3" t="s">
        <v>8</v>
      </c>
      <c r="E339" s="3" t="s">
        <v>9</v>
      </c>
      <c r="F339" s="3" t="s">
        <v>10</v>
      </c>
    </row>
    <row r="340">
      <c r="A340" s="5" t="str">
        <f>IFERROR(__xludf.DUMMYFUNCTION("""COMPUTED_VALUE"""),"DBP02000338")</f>
        <v>DBP02000338</v>
      </c>
      <c r="B340" s="5" t="str">
        <f>IFERROR(__xludf.DUMMYFUNCTION("""COMPUTED_VALUE"""),"danniafirstiaa@gmail.com")</f>
        <v>danniafirstiaa@gmail.com</v>
      </c>
      <c r="C340" s="3">
        <v>222222.0</v>
      </c>
      <c r="D340" s="3" t="s">
        <v>8</v>
      </c>
      <c r="E340" s="3" t="s">
        <v>9</v>
      </c>
      <c r="F340" s="3" t="s">
        <v>10</v>
      </c>
    </row>
    <row r="341">
      <c r="A341" s="5" t="str">
        <f>IFERROR(__xludf.DUMMYFUNCTION("""COMPUTED_VALUE"""),"DBP02000339")</f>
        <v>DBP02000339</v>
      </c>
      <c r="B341" s="5" t="str">
        <f>IFERROR(__xludf.DUMMYFUNCTION("""COMPUTED_VALUE"""),"mohr0401@gmail.com")</f>
        <v>mohr0401@gmail.com</v>
      </c>
      <c r="C341" s="3">
        <v>222222.0</v>
      </c>
      <c r="D341" s="3" t="s">
        <v>8</v>
      </c>
      <c r="E341" s="3" t="s">
        <v>9</v>
      </c>
      <c r="F341" s="3" t="s">
        <v>10</v>
      </c>
    </row>
    <row r="342">
      <c r="A342" s="5" t="str">
        <f>IFERROR(__xludf.DUMMYFUNCTION("""COMPUTED_VALUE"""),"DBP02000340")</f>
        <v>DBP02000340</v>
      </c>
      <c r="B342" s="5" t="str">
        <f>IFERROR(__xludf.DUMMYFUNCTION("""COMPUTED_VALUE"""),"a.irenebudiono@gmail.com")</f>
        <v>a.irenebudiono@gmail.com</v>
      </c>
      <c r="C342" s="3">
        <v>222222.0</v>
      </c>
      <c r="D342" s="3" t="s">
        <v>8</v>
      </c>
      <c r="E342" s="3" t="s">
        <v>9</v>
      </c>
      <c r="F342" s="3" t="s">
        <v>10</v>
      </c>
    </row>
    <row r="343">
      <c r="A343" s="5" t="str">
        <f>IFERROR(__xludf.DUMMYFUNCTION("""COMPUTED_VALUE"""),"DBP02000341")</f>
        <v>DBP02000341</v>
      </c>
      <c r="B343" s="5" t="str">
        <f>IFERROR(__xludf.DUMMYFUNCTION("""COMPUTED_VALUE"""),"balqissrikandiwiryawan@gmail.com")</f>
        <v>balqissrikandiwiryawan@gmail.com</v>
      </c>
      <c r="C343" s="3">
        <v>222222.0</v>
      </c>
      <c r="D343" s="3" t="s">
        <v>8</v>
      </c>
      <c r="E343" s="3" t="s">
        <v>9</v>
      </c>
      <c r="F343" s="3" t="s">
        <v>10</v>
      </c>
    </row>
    <row r="344">
      <c r="A344" s="5" t="str">
        <f>IFERROR(__xludf.DUMMYFUNCTION("""COMPUTED_VALUE"""),"DBP02000342")</f>
        <v>DBP02000342</v>
      </c>
      <c r="B344" s="5" t="str">
        <f>IFERROR(__xludf.DUMMYFUNCTION("""COMPUTED_VALUE"""),"iikrohzana@gmail.com")</f>
        <v>iikrohzana@gmail.com</v>
      </c>
      <c r="C344" s="3">
        <v>222222.0</v>
      </c>
      <c r="D344" s="3" t="s">
        <v>8</v>
      </c>
      <c r="E344" s="3" t="s">
        <v>9</v>
      </c>
      <c r="F344" s="3" t="s">
        <v>10</v>
      </c>
    </row>
    <row r="345">
      <c r="A345" s="5" t="str">
        <f>IFERROR(__xludf.DUMMYFUNCTION("""COMPUTED_VALUE"""),"DBP02000343")</f>
        <v>DBP02000343</v>
      </c>
      <c r="B345" s="5" t="str">
        <f>IFERROR(__xludf.DUMMYFUNCTION("""COMPUTED_VALUE"""),"gratitude2501@gmail.com")</f>
        <v>gratitude2501@gmail.com</v>
      </c>
      <c r="C345" s="3">
        <v>222222.0</v>
      </c>
      <c r="D345" s="3" t="s">
        <v>8</v>
      </c>
      <c r="E345" s="3" t="s">
        <v>9</v>
      </c>
      <c r="F345" s="3" t="s">
        <v>10</v>
      </c>
    </row>
    <row r="346">
      <c r="A346" s="5" t="str">
        <f>IFERROR(__xludf.DUMMYFUNCTION("""COMPUTED_VALUE"""),"DBP02000344")</f>
        <v>DBP02000344</v>
      </c>
      <c r="B346" s="5" t="str">
        <f>IFERROR(__xludf.DUMMYFUNCTION("""COMPUTED_VALUE"""),"zaldymalikk@gmail.com")</f>
        <v>zaldymalikk@gmail.com</v>
      </c>
      <c r="C346" s="3">
        <v>222222.0</v>
      </c>
      <c r="D346" s="3" t="s">
        <v>8</v>
      </c>
      <c r="E346" s="3" t="s">
        <v>9</v>
      </c>
      <c r="F346" s="3" t="s">
        <v>10</v>
      </c>
    </row>
    <row r="347">
      <c r="A347" s="5" t="str">
        <f>IFERROR(__xludf.DUMMYFUNCTION("""COMPUTED_VALUE"""),"DBP02000345")</f>
        <v>DBP02000345</v>
      </c>
      <c r="B347" s="5" t="str">
        <f>IFERROR(__xludf.DUMMYFUNCTION("""COMPUTED_VALUE"""),"rizqimaghf2111@gmail.com")</f>
        <v>rizqimaghf2111@gmail.com</v>
      </c>
      <c r="C347" s="3">
        <v>222222.0</v>
      </c>
      <c r="D347" s="3" t="s">
        <v>8</v>
      </c>
      <c r="E347" s="3" t="s">
        <v>9</v>
      </c>
      <c r="F347" s="3" t="s">
        <v>10</v>
      </c>
    </row>
    <row r="348">
      <c r="A348" s="5" t="str">
        <f>IFERROR(__xludf.DUMMYFUNCTION("""COMPUTED_VALUE"""),"DBP02000346")</f>
        <v>DBP02000346</v>
      </c>
      <c r="B348" s="5" t="str">
        <f>IFERROR(__xludf.DUMMYFUNCTION("""COMPUTED_VALUE"""),"bomziemuhiq@gmail.com")</f>
        <v>bomziemuhiq@gmail.com</v>
      </c>
      <c r="C348" s="3">
        <v>222222.0</v>
      </c>
      <c r="D348" s="3" t="s">
        <v>8</v>
      </c>
      <c r="E348" s="3" t="s">
        <v>9</v>
      </c>
      <c r="F348" s="3" t="s">
        <v>10</v>
      </c>
    </row>
    <row r="349">
      <c r="A349" s="5" t="str">
        <f>IFERROR(__xludf.DUMMYFUNCTION("""COMPUTED_VALUE"""),"DBP02000347")</f>
        <v>DBP02000347</v>
      </c>
      <c r="B349" s="5" t="str">
        <f>IFERROR(__xludf.DUMMYFUNCTION("""COMPUTED_VALUE"""),"mutiaranggiau@gmail.com")</f>
        <v>mutiaranggiau@gmail.com</v>
      </c>
      <c r="C349" s="3">
        <v>222222.0</v>
      </c>
      <c r="D349" s="3" t="s">
        <v>8</v>
      </c>
      <c r="E349" s="3" t="s">
        <v>9</v>
      </c>
      <c r="F349" s="3" t="s">
        <v>10</v>
      </c>
    </row>
    <row r="350">
      <c r="A350" s="5" t="str">
        <f>IFERROR(__xludf.DUMMYFUNCTION("""COMPUTED_VALUE"""),"DBP02000348")</f>
        <v>DBP02000348</v>
      </c>
      <c r="B350" s="5" t="str">
        <f>IFERROR(__xludf.DUMMYFUNCTION("""COMPUTED_VALUE"""),"puspayufaranisa@gmail.com")</f>
        <v>puspayufaranisa@gmail.com</v>
      </c>
      <c r="C350" s="3">
        <v>222222.0</v>
      </c>
      <c r="D350" s="3" t="s">
        <v>8</v>
      </c>
      <c r="E350" s="3" t="s">
        <v>9</v>
      </c>
      <c r="F350" s="3" t="s">
        <v>10</v>
      </c>
    </row>
    <row r="351">
      <c r="A351" s="5" t="str">
        <f>IFERROR(__xludf.DUMMYFUNCTION("""COMPUTED_VALUE"""),"DBP02000349")</f>
        <v>DBP02000349</v>
      </c>
      <c r="B351" s="5" t="str">
        <f>IFERROR(__xludf.DUMMYFUNCTION("""COMPUTED_VALUE"""),"ameliadella0530@gmail.com")</f>
        <v>ameliadella0530@gmail.com</v>
      </c>
      <c r="C351" s="3">
        <v>222222.0</v>
      </c>
      <c r="D351" s="3" t="s">
        <v>8</v>
      </c>
      <c r="E351" s="3" t="s">
        <v>9</v>
      </c>
      <c r="F351" s="3" t="s">
        <v>10</v>
      </c>
    </row>
    <row r="352">
      <c r="A352" s="5" t="str">
        <f>IFERROR(__xludf.DUMMYFUNCTION("""COMPUTED_VALUE"""),"DBP02000350")</f>
        <v>DBP02000350</v>
      </c>
      <c r="B352" s="5" t="str">
        <f>IFERROR(__xludf.DUMMYFUNCTION("""COMPUTED_VALUE"""),"nathaniaadinata1@gmail.com")</f>
        <v>nathaniaadinata1@gmail.com</v>
      </c>
      <c r="C352" s="3">
        <v>222222.0</v>
      </c>
      <c r="D352" s="3" t="s">
        <v>8</v>
      </c>
      <c r="E352" s="3" t="s">
        <v>9</v>
      </c>
      <c r="F352" s="3" t="s">
        <v>10</v>
      </c>
    </row>
    <row r="353">
      <c r="A353" s="5" t="str">
        <f>IFERROR(__xludf.DUMMYFUNCTION("""COMPUTED_VALUE"""),"DBP02000351")</f>
        <v>DBP02000351</v>
      </c>
      <c r="B353" s="5" t="str">
        <f>IFERROR(__xludf.DUMMYFUNCTION("""COMPUTED_VALUE"""),"liorachrissapattiasina@gmail.com")</f>
        <v>liorachrissapattiasina@gmail.com</v>
      </c>
      <c r="C353" s="3">
        <v>222222.0</v>
      </c>
      <c r="D353" s="3" t="s">
        <v>8</v>
      </c>
      <c r="E353" s="3" t="s">
        <v>9</v>
      </c>
      <c r="F353" s="3" t="s">
        <v>10</v>
      </c>
    </row>
    <row r="354">
      <c r="A354" s="5" t="str">
        <f>IFERROR(__xludf.DUMMYFUNCTION("""COMPUTED_VALUE"""),"DBP02000352")</f>
        <v>DBP02000352</v>
      </c>
      <c r="B354" s="5" t="str">
        <f>IFERROR(__xludf.DUMMYFUNCTION("""COMPUTED_VALUE"""),"mitamaulidamita15@gmail.com")</f>
        <v>mitamaulidamita15@gmail.com</v>
      </c>
      <c r="C354" s="3">
        <v>222222.0</v>
      </c>
      <c r="D354" s="3" t="s">
        <v>8</v>
      </c>
      <c r="E354" s="3" t="s">
        <v>9</v>
      </c>
      <c r="F354" s="3" t="s">
        <v>10</v>
      </c>
    </row>
    <row r="355">
      <c r="A355" s="5" t="str">
        <f>IFERROR(__xludf.DUMMYFUNCTION("""COMPUTED_VALUE"""),"DBP02000353")</f>
        <v>DBP02000353</v>
      </c>
      <c r="B355" s="5" t="str">
        <f>IFERROR(__xludf.DUMMYFUNCTION("""COMPUTED_VALUE"""),"agungselamat338@gmail.com")</f>
        <v>agungselamat338@gmail.com</v>
      </c>
      <c r="C355" s="3">
        <v>222222.0</v>
      </c>
      <c r="D355" s="3" t="s">
        <v>8</v>
      </c>
      <c r="E355" s="3" t="s">
        <v>9</v>
      </c>
      <c r="F355" s="3" t="s">
        <v>10</v>
      </c>
    </row>
    <row r="356">
      <c r="A356" s="5" t="str">
        <f>IFERROR(__xludf.DUMMYFUNCTION("""COMPUTED_VALUE"""),"DBP02000354")</f>
        <v>DBP02000354</v>
      </c>
      <c r="B356" s="5" t="str">
        <f>IFERROR(__xludf.DUMMYFUNCTION("""COMPUTED_VALUE"""),"sucine97@gmail.com")</f>
        <v>sucine97@gmail.com</v>
      </c>
      <c r="C356" s="3">
        <v>222222.0</v>
      </c>
      <c r="D356" s="3" t="s">
        <v>8</v>
      </c>
      <c r="E356" s="3" t="s">
        <v>9</v>
      </c>
      <c r="F356" s="3" t="s">
        <v>10</v>
      </c>
    </row>
    <row r="357">
      <c r="A357" s="5" t="str">
        <f>IFERROR(__xludf.DUMMYFUNCTION("""COMPUTED_VALUE"""),"DBP02000355")</f>
        <v>DBP02000355</v>
      </c>
      <c r="B357" s="5" t="str">
        <f>IFERROR(__xludf.DUMMYFUNCTION("""COMPUTED_VALUE"""),"rioramadhant21@gmail.com")</f>
        <v>rioramadhant21@gmail.com</v>
      </c>
      <c r="C357" s="3">
        <v>222222.0</v>
      </c>
      <c r="D357" s="3" t="s">
        <v>8</v>
      </c>
      <c r="E357" s="3" t="s">
        <v>9</v>
      </c>
      <c r="F357" s="3" t="s">
        <v>10</v>
      </c>
    </row>
    <row r="358">
      <c r="A358" s="5" t="str">
        <f>IFERROR(__xludf.DUMMYFUNCTION("""COMPUTED_VALUE"""),"DBP02000356")</f>
        <v>DBP02000356</v>
      </c>
      <c r="B358" s="5" t="str">
        <f>IFERROR(__xludf.DUMMYFUNCTION("""COMPUTED_VALUE"""),"syahrul.spensa@gmail.com")</f>
        <v>syahrul.spensa@gmail.com</v>
      </c>
      <c r="C358" s="3">
        <v>222222.0</v>
      </c>
      <c r="D358" s="3" t="s">
        <v>8</v>
      </c>
      <c r="E358" s="3" t="s">
        <v>9</v>
      </c>
      <c r="F358" s="3" t="s">
        <v>10</v>
      </c>
    </row>
    <row r="359">
      <c r="A359" s="5" t="str">
        <f>IFERROR(__xludf.DUMMYFUNCTION("""COMPUTED_VALUE"""),"DBP02000357")</f>
        <v>DBP02000357</v>
      </c>
      <c r="B359" s="5" t="str">
        <f>IFERROR(__xludf.DUMMYFUNCTION("""COMPUTED_VALUE"""),"arachmaningsih@gmail.com")</f>
        <v>arachmaningsih@gmail.com</v>
      </c>
      <c r="C359" s="3">
        <v>222222.0</v>
      </c>
      <c r="D359" s="3" t="s">
        <v>8</v>
      </c>
      <c r="E359" s="3" t="s">
        <v>9</v>
      </c>
      <c r="F359" s="3" t="s">
        <v>10</v>
      </c>
    </row>
    <row r="360">
      <c r="A360" s="5" t="str">
        <f>IFERROR(__xludf.DUMMYFUNCTION("""COMPUTED_VALUE"""),"DBP02000358")</f>
        <v>DBP02000358</v>
      </c>
      <c r="B360" s="5" t="str">
        <f>IFERROR(__xludf.DUMMYFUNCTION("""COMPUTED_VALUE"""),"kaylavania@student.ub.ac.id")</f>
        <v>kaylavania@student.ub.ac.id</v>
      </c>
      <c r="C360" s="3">
        <v>222222.0</v>
      </c>
      <c r="D360" s="3" t="s">
        <v>8</v>
      </c>
      <c r="E360" s="3" t="s">
        <v>9</v>
      </c>
      <c r="F360" s="3" t="s">
        <v>10</v>
      </c>
    </row>
    <row r="361">
      <c r="A361" s="5" t="str">
        <f>IFERROR(__xludf.DUMMYFUNCTION("""COMPUTED_VALUE"""),"DBP02000359")</f>
        <v>DBP02000359</v>
      </c>
      <c r="B361" s="5" t="str">
        <f>IFERROR(__xludf.DUMMYFUNCTION("""COMPUTED_VALUE"""),"ghalibbaharuddin10@gmail.com")</f>
        <v>ghalibbaharuddin10@gmail.com</v>
      </c>
      <c r="C361" s="3">
        <v>222222.0</v>
      </c>
      <c r="D361" s="3" t="s">
        <v>8</v>
      </c>
      <c r="E361" s="3" t="s">
        <v>9</v>
      </c>
      <c r="F361" s="3" t="s">
        <v>10</v>
      </c>
    </row>
    <row r="362">
      <c r="A362" s="5" t="str">
        <f>IFERROR(__xludf.DUMMYFUNCTION("""COMPUTED_VALUE"""),"DBP02000360")</f>
        <v>DBP02000360</v>
      </c>
      <c r="B362" s="5" t="str">
        <f>IFERROR(__xludf.DUMMYFUNCTION("""COMPUTED_VALUE"""),"dwinantasipayung66@gmail.com")</f>
        <v>dwinantasipayung66@gmail.com</v>
      </c>
      <c r="C362" s="3">
        <v>222222.0</v>
      </c>
      <c r="D362" s="3" t="s">
        <v>8</v>
      </c>
      <c r="E362" s="3" t="s">
        <v>9</v>
      </c>
      <c r="F362" s="3" t="s">
        <v>10</v>
      </c>
    </row>
    <row r="363">
      <c r="A363" s="5" t="str">
        <f>IFERROR(__xludf.DUMMYFUNCTION("""COMPUTED_VALUE"""),"DBP02000361")</f>
        <v>DBP02000361</v>
      </c>
      <c r="B363" s="5" t="str">
        <f>IFERROR(__xludf.DUMMYFUNCTION("""COMPUTED_VALUE"""),"vanessayaniarta@gmail.com")</f>
        <v>vanessayaniarta@gmail.com</v>
      </c>
      <c r="C363" s="3">
        <v>222222.0</v>
      </c>
      <c r="D363" s="3" t="s">
        <v>8</v>
      </c>
      <c r="E363" s="3" t="s">
        <v>9</v>
      </c>
      <c r="F363" s="3" t="s">
        <v>10</v>
      </c>
    </row>
    <row r="364">
      <c r="A364" s="5" t="str">
        <f>IFERROR(__xludf.DUMMYFUNCTION("""COMPUTED_VALUE"""),"DBP02000362")</f>
        <v>DBP02000362</v>
      </c>
      <c r="B364" s="5" t="str">
        <f>IFERROR(__xludf.DUMMYFUNCTION("""COMPUTED_VALUE"""),"izafazila@apps.ipb.ac.id")</f>
        <v>izafazila@apps.ipb.ac.id</v>
      </c>
      <c r="C364" s="3">
        <v>222222.0</v>
      </c>
      <c r="D364" s="3" t="s">
        <v>8</v>
      </c>
      <c r="E364" s="3" t="s">
        <v>9</v>
      </c>
      <c r="F364" s="3" t="s">
        <v>10</v>
      </c>
    </row>
    <row r="365">
      <c r="A365" s="5" t="str">
        <f>IFERROR(__xludf.DUMMYFUNCTION("""COMPUTED_VALUE"""),"DBP02000363")</f>
        <v>DBP02000363</v>
      </c>
      <c r="B365" s="5" t="str">
        <f>IFERROR(__xludf.DUMMYFUNCTION("""COMPUTED_VALUE"""),"cintiagita0@gmail.com")</f>
        <v>cintiagita0@gmail.com</v>
      </c>
      <c r="C365" s="3">
        <v>222222.0</v>
      </c>
      <c r="D365" s="3" t="s">
        <v>8</v>
      </c>
      <c r="E365" s="3" t="s">
        <v>9</v>
      </c>
      <c r="F365" s="3" t="s">
        <v>10</v>
      </c>
    </row>
    <row r="366">
      <c r="A366" s="5" t="str">
        <f>IFERROR(__xludf.DUMMYFUNCTION("""COMPUTED_VALUE"""),"DBP02000364")</f>
        <v>DBP02000364</v>
      </c>
      <c r="B366" s="5" t="str">
        <f>IFERROR(__xludf.DUMMYFUNCTION("""COMPUTED_VALUE"""),"ikhwatisabila@gmail.com")</f>
        <v>ikhwatisabila@gmail.com</v>
      </c>
      <c r="C366" s="3">
        <v>222222.0</v>
      </c>
      <c r="D366" s="3" t="s">
        <v>8</v>
      </c>
      <c r="E366" s="3" t="s">
        <v>9</v>
      </c>
      <c r="F366" s="3" t="s">
        <v>10</v>
      </c>
    </row>
    <row r="367">
      <c r="A367" s="5" t="str">
        <f>IFERROR(__xludf.DUMMYFUNCTION("""COMPUTED_VALUE"""),"DBP02000365")</f>
        <v>DBP02000365</v>
      </c>
      <c r="B367" s="5" t="str">
        <f>IFERROR(__xludf.DUMMYFUNCTION("""COMPUTED_VALUE"""),"devinasaputra23@gmail.com")</f>
        <v>devinasaputra23@gmail.com</v>
      </c>
      <c r="C367" s="3">
        <v>222222.0</v>
      </c>
      <c r="D367" s="3" t="s">
        <v>8</v>
      </c>
      <c r="E367" s="3" t="s">
        <v>9</v>
      </c>
      <c r="F367" s="3" t="s">
        <v>10</v>
      </c>
    </row>
    <row r="368">
      <c r="A368" s="5" t="str">
        <f>IFERROR(__xludf.DUMMYFUNCTION("""COMPUTED_VALUE"""),"DBP02000366")</f>
        <v>DBP02000366</v>
      </c>
      <c r="B368" s="5" t="str">
        <f>IFERROR(__xludf.DUMMYFUNCTION("""COMPUTED_VALUE"""),"sastrabusiness@gmail.com")</f>
        <v>sastrabusiness@gmail.com</v>
      </c>
      <c r="C368" s="3">
        <v>222222.0</v>
      </c>
      <c r="D368" s="3" t="s">
        <v>8</v>
      </c>
      <c r="E368" s="3" t="s">
        <v>9</v>
      </c>
      <c r="F368" s="3" t="s">
        <v>10</v>
      </c>
    </row>
    <row r="369">
      <c r="A369" s="5" t="str">
        <f>IFERROR(__xludf.DUMMYFUNCTION("""COMPUTED_VALUE"""),"DBP02000367")</f>
        <v>DBP02000367</v>
      </c>
      <c r="B369" s="5" t="str">
        <f>IFERROR(__xludf.DUMMYFUNCTION("""COMPUTED_VALUE"""),"muthiahresty15@gmail.com")</f>
        <v>muthiahresty15@gmail.com</v>
      </c>
      <c r="C369" s="3">
        <v>222222.0</v>
      </c>
      <c r="D369" s="3" t="s">
        <v>8</v>
      </c>
      <c r="E369" s="3" t="s">
        <v>9</v>
      </c>
      <c r="F369" s="3" t="s">
        <v>10</v>
      </c>
    </row>
    <row r="370">
      <c r="A370" s="5" t="str">
        <f>IFERROR(__xludf.DUMMYFUNCTION("""COMPUTED_VALUE"""),"DBP02000368")</f>
        <v>DBP02000368</v>
      </c>
      <c r="B370" s="5" t="str">
        <f>IFERROR(__xludf.DUMMYFUNCTION("""COMPUTED_VALUE"""),"gustianarya12@gmail.com")</f>
        <v>gustianarya12@gmail.com</v>
      </c>
      <c r="C370" s="3">
        <v>222222.0</v>
      </c>
      <c r="D370" s="3" t="s">
        <v>8</v>
      </c>
      <c r="E370" s="3" t="s">
        <v>9</v>
      </c>
      <c r="F370" s="3" t="s">
        <v>10</v>
      </c>
    </row>
    <row r="371">
      <c r="A371" s="5" t="str">
        <f>IFERROR(__xludf.DUMMYFUNCTION("""COMPUTED_VALUE"""),"DBP02000369")</f>
        <v>DBP02000369</v>
      </c>
      <c r="B371" s="5" t="str">
        <f>IFERROR(__xludf.DUMMYFUNCTION("""COMPUTED_VALUE"""),"farhanmuh140@gmail.com")</f>
        <v>farhanmuh140@gmail.com</v>
      </c>
      <c r="C371" s="3">
        <v>222222.0</v>
      </c>
      <c r="D371" s="3" t="s">
        <v>8</v>
      </c>
      <c r="E371" s="3" t="s">
        <v>9</v>
      </c>
      <c r="F371" s="3" t="s">
        <v>10</v>
      </c>
    </row>
    <row r="372">
      <c r="A372" s="5" t="str">
        <f>IFERROR(__xludf.DUMMYFUNCTION("""COMPUTED_VALUE"""),"DBP02000370")</f>
        <v>DBP02000370</v>
      </c>
      <c r="B372" s="5" t="str">
        <f>IFERROR(__xludf.DUMMYFUNCTION("""COMPUTED_VALUE"""),"manullangrosinda@gmail.com")</f>
        <v>manullangrosinda@gmail.com</v>
      </c>
      <c r="C372" s="3">
        <v>222222.0</v>
      </c>
      <c r="D372" s="3" t="s">
        <v>8</v>
      </c>
      <c r="E372" s="3" t="s">
        <v>9</v>
      </c>
      <c r="F372" s="3" t="s">
        <v>10</v>
      </c>
    </row>
    <row r="373">
      <c r="A373" s="5" t="str">
        <f>IFERROR(__xludf.DUMMYFUNCTION("""COMPUTED_VALUE"""),"DBP02000371")</f>
        <v>DBP02000371</v>
      </c>
      <c r="B373" s="5" t="str">
        <f>IFERROR(__xludf.DUMMYFUNCTION("""COMPUTED_VALUE"""),"ibrohimazamta.9a@gmail.com")</f>
        <v>ibrohimazamta.9a@gmail.com</v>
      </c>
      <c r="C373" s="3">
        <v>222222.0</v>
      </c>
      <c r="D373" s="3" t="s">
        <v>8</v>
      </c>
      <c r="E373" s="3" t="s">
        <v>9</v>
      </c>
      <c r="F373" s="3" t="s">
        <v>10</v>
      </c>
    </row>
    <row r="374">
      <c r="A374" s="5" t="str">
        <f>IFERROR(__xludf.DUMMYFUNCTION("""COMPUTED_VALUE"""),"DBP02000372")</f>
        <v>DBP02000372</v>
      </c>
      <c r="B374" s="5" t="str">
        <f>IFERROR(__xludf.DUMMYFUNCTION("""COMPUTED_VALUE"""),"ventyindahutami@gmail.com")</f>
        <v>ventyindahutami@gmail.com</v>
      </c>
      <c r="C374" s="3">
        <v>222222.0</v>
      </c>
      <c r="D374" s="3" t="s">
        <v>8</v>
      </c>
      <c r="E374" s="3" t="s">
        <v>9</v>
      </c>
      <c r="F374" s="3" t="s">
        <v>10</v>
      </c>
    </row>
    <row r="375">
      <c r="A375" s="5" t="str">
        <f>IFERROR(__xludf.DUMMYFUNCTION("""COMPUTED_VALUE"""),"DBP02000373")</f>
        <v>DBP02000373</v>
      </c>
      <c r="B375" s="5" t="str">
        <f>IFERROR(__xludf.DUMMYFUNCTION("""COMPUTED_VALUE"""),"ghaitsa.zahira.gz@gmail.com")</f>
        <v>ghaitsa.zahira.gz@gmail.com</v>
      </c>
      <c r="C375" s="3">
        <v>222222.0</v>
      </c>
      <c r="D375" s="3" t="s">
        <v>8</v>
      </c>
      <c r="E375" s="3" t="s">
        <v>9</v>
      </c>
      <c r="F375" s="3" t="s">
        <v>10</v>
      </c>
    </row>
    <row r="376">
      <c r="A376" s="5" t="str">
        <f>IFERROR(__xludf.DUMMYFUNCTION("""COMPUTED_VALUE"""),"DBP02000374")</f>
        <v>DBP02000374</v>
      </c>
      <c r="B376" s="5" t="str">
        <f>IFERROR(__xludf.DUMMYFUNCTION("""COMPUTED_VALUE"""),"fisviyanharqie@gmail.com")</f>
        <v>fisviyanharqie@gmail.com</v>
      </c>
      <c r="C376" s="3">
        <v>222222.0</v>
      </c>
      <c r="D376" s="3" t="s">
        <v>8</v>
      </c>
      <c r="E376" s="3" t="s">
        <v>9</v>
      </c>
      <c r="F376" s="3" t="s">
        <v>10</v>
      </c>
    </row>
    <row r="377">
      <c r="A377" s="5" t="str">
        <f>IFERROR(__xludf.DUMMYFUNCTION("""COMPUTED_VALUE"""),"DBP02000375")</f>
        <v>DBP02000375</v>
      </c>
      <c r="B377" s="5" t="str">
        <f>IFERROR(__xludf.DUMMYFUNCTION("""COMPUTED_VALUE"""),"ahmadariif6@gmail.com")</f>
        <v>ahmadariif6@gmail.com</v>
      </c>
      <c r="C377" s="3">
        <v>222222.0</v>
      </c>
      <c r="D377" s="3" t="s">
        <v>8</v>
      </c>
      <c r="E377" s="3" t="s">
        <v>9</v>
      </c>
      <c r="F377" s="3" t="s">
        <v>10</v>
      </c>
    </row>
    <row r="378">
      <c r="A378" s="5" t="str">
        <f>IFERROR(__xludf.DUMMYFUNCTION("""COMPUTED_VALUE"""),"DBP02000376")</f>
        <v>DBP02000376</v>
      </c>
      <c r="B378" s="5" t="str">
        <f>IFERROR(__xludf.DUMMYFUNCTION("""COMPUTED_VALUE"""),"novenashafira@gmail.com")</f>
        <v>novenashafira@gmail.com</v>
      </c>
      <c r="C378" s="3">
        <v>222222.0</v>
      </c>
      <c r="D378" s="3" t="s">
        <v>8</v>
      </c>
      <c r="E378" s="3" t="s">
        <v>9</v>
      </c>
      <c r="F378" s="3" t="s">
        <v>10</v>
      </c>
    </row>
    <row r="379">
      <c r="A379" s="5" t="str">
        <f>IFERROR(__xludf.DUMMYFUNCTION("""COMPUTED_VALUE"""),"DBP02000377")</f>
        <v>DBP02000377</v>
      </c>
      <c r="B379" s="5" t="str">
        <f>IFERROR(__xludf.DUMMYFUNCTION("""COMPUTED_VALUE"""),"kukuhprakoso64@gmail.com")</f>
        <v>kukuhprakoso64@gmail.com</v>
      </c>
      <c r="C379" s="3">
        <v>222222.0</v>
      </c>
      <c r="D379" s="3" t="s">
        <v>8</v>
      </c>
      <c r="E379" s="3" t="s">
        <v>9</v>
      </c>
      <c r="F379" s="3" t="s">
        <v>10</v>
      </c>
    </row>
    <row r="380">
      <c r="A380" s="5" t="str">
        <f>IFERROR(__xludf.DUMMYFUNCTION("""COMPUTED_VALUE"""),"DBP02000378")</f>
        <v>DBP02000378</v>
      </c>
      <c r="B380" s="5" t="str">
        <f>IFERROR(__xludf.DUMMYFUNCTION("""COMPUTED_VALUE"""),"rizqimulyantara@gmail.com")</f>
        <v>rizqimulyantara@gmail.com</v>
      </c>
      <c r="C380" s="3">
        <v>222222.0</v>
      </c>
      <c r="D380" s="3" t="s">
        <v>8</v>
      </c>
      <c r="E380" s="3" t="s">
        <v>9</v>
      </c>
      <c r="F380" s="3" t="s">
        <v>10</v>
      </c>
    </row>
    <row r="381">
      <c r="A381" s="5" t="str">
        <f>IFERROR(__xludf.DUMMYFUNCTION("""COMPUTED_VALUE"""),"DBP02000379")</f>
        <v>DBP02000379</v>
      </c>
      <c r="B381" s="5" t="str">
        <f>IFERROR(__xludf.DUMMYFUNCTION("""COMPUTED_VALUE"""),"meyrapratiwi@gmail.com")</f>
        <v>meyrapratiwi@gmail.com</v>
      </c>
      <c r="C381" s="3">
        <v>222222.0</v>
      </c>
      <c r="D381" s="3" t="s">
        <v>8</v>
      </c>
      <c r="E381" s="3" t="s">
        <v>9</v>
      </c>
      <c r="F381" s="3" t="s">
        <v>10</v>
      </c>
    </row>
    <row r="382">
      <c r="A382" s="5" t="str">
        <f>IFERROR(__xludf.DUMMYFUNCTION("""COMPUTED_VALUE"""),"DBP02000380")</f>
        <v>DBP02000380</v>
      </c>
      <c r="B382" s="5" t="str">
        <f>IFERROR(__xludf.DUMMYFUNCTION("""COMPUTED_VALUE"""),"prabufarrel10@gmail.com")</f>
        <v>prabufarrel10@gmail.com</v>
      </c>
      <c r="C382" s="3">
        <v>222222.0</v>
      </c>
      <c r="D382" s="3" t="s">
        <v>8</v>
      </c>
      <c r="E382" s="3" t="s">
        <v>9</v>
      </c>
      <c r="F382" s="3" t="s">
        <v>10</v>
      </c>
    </row>
    <row r="383">
      <c r="A383" s="5" t="str">
        <f>IFERROR(__xludf.DUMMYFUNCTION("""COMPUTED_VALUE"""),"DBP02000381")</f>
        <v>DBP02000381</v>
      </c>
      <c r="B383" s="5" t="str">
        <f>IFERROR(__xludf.DUMMYFUNCTION("""COMPUTED_VALUE"""),"yolandakono@gmail.com")</f>
        <v>yolandakono@gmail.com</v>
      </c>
      <c r="C383" s="3">
        <v>222222.0</v>
      </c>
      <c r="D383" s="3" t="s">
        <v>8</v>
      </c>
      <c r="E383" s="3" t="s">
        <v>9</v>
      </c>
      <c r="F383" s="3" t="s">
        <v>10</v>
      </c>
    </row>
    <row r="384">
      <c r="A384" s="5" t="str">
        <f>IFERROR(__xludf.DUMMYFUNCTION("""COMPUTED_VALUE"""),"DBP02000382")</f>
        <v>DBP02000382</v>
      </c>
      <c r="B384" s="5" t="str">
        <f>IFERROR(__xludf.DUMMYFUNCTION("""COMPUTED_VALUE"""),"andrian.edge@gmail.com")</f>
        <v>andrian.edge@gmail.com</v>
      </c>
      <c r="C384" s="3">
        <v>222222.0</v>
      </c>
      <c r="D384" s="3" t="s">
        <v>8</v>
      </c>
      <c r="E384" s="3" t="s">
        <v>9</v>
      </c>
      <c r="F384" s="3" t="s">
        <v>10</v>
      </c>
    </row>
    <row r="385">
      <c r="A385" s="5" t="str">
        <f>IFERROR(__xludf.DUMMYFUNCTION("""COMPUTED_VALUE"""),"DBP02000383")</f>
        <v>DBP02000383</v>
      </c>
      <c r="B385" s="5" t="str">
        <f>IFERROR(__xludf.DUMMYFUNCTION("""COMPUTED_VALUE"""),"aulia.fahmimaulana@gmail.com")</f>
        <v>aulia.fahmimaulana@gmail.com</v>
      </c>
      <c r="C385" s="3">
        <v>222222.0</v>
      </c>
      <c r="D385" s="3" t="s">
        <v>8</v>
      </c>
      <c r="E385" s="3" t="s">
        <v>9</v>
      </c>
      <c r="F385" s="3" t="s">
        <v>10</v>
      </c>
    </row>
    <row r="386">
      <c r="A386" s="5" t="str">
        <f>IFERROR(__xludf.DUMMYFUNCTION("""COMPUTED_VALUE"""),"DBP02000384")</f>
        <v>DBP02000384</v>
      </c>
      <c r="B386" s="5" t="str">
        <f>IFERROR(__xludf.DUMMYFUNCTION("""COMPUTED_VALUE"""),"ilyasa.fikri@gmail.com")</f>
        <v>ilyasa.fikri@gmail.com</v>
      </c>
      <c r="C386" s="3">
        <v>222222.0</v>
      </c>
      <c r="D386" s="3" t="s">
        <v>8</v>
      </c>
      <c r="E386" s="3" t="s">
        <v>9</v>
      </c>
      <c r="F386" s="3" t="s">
        <v>10</v>
      </c>
    </row>
    <row r="387">
      <c r="A387" s="5" t="str">
        <f>IFERROR(__xludf.DUMMYFUNCTION("""COMPUTED_VALUE"""),"DBP02000385")</f>
        <v>DBP02000385</v>
      </c>
      <c r="B387" s="5" t="str">
        <f>IFERROR(__xludf.DUMMYFUNCTION("""COMPUTED_VALUE"""),"martina.kristanti@gmail.com")</f>
        <v>martina.kristanti@gmail.com</v>
      </c>
      <c r="C387" s="3">
        <v>222222.0</v>
      </c>
      <c r="D387" s="3" t="s">
        <v>8</v>
      </c>
      <c r="E387" s="3" t="s">
        <v>9</v>
      </c>
      <c r="F387" s="3" t="s">
        <v>10</v>
      </c>
    </row>
    <row r="388">
      <c r="A388" s="5" t="str">
        <f>IFERROR(__xludf.DUMMYFUNCTION("""COMPUTED_VALUE"""),"DBP02000386")</f>
        <v>DBP02000386</v>
      </c>
      <c r="B388" s="5" t="str">
        <f>IFERROR(__xludf.DUMMYFUNCTION("""COMPUTED_VALUE"""),"ayutarantika@gmail.com")</f>
        <v>ayutarantika@gmail.com</v>
      </c>
      <c r="C388" s="3">
        <v>222222.0</v>
      </c>
      <c r="D388" s="3" t="s">
        <v>8</v>
      </c>
      <c r="E388" s="3" t="s">
        <v>9</v>
      </c>
      <c r="F388" s="3" t="s">
        <v>10</v>
      </c>
    </row>
    <row r="389">
      <c r="A389" s="5" t="str">
        <f>IFERROR(__xludf.DUMMYFUNCTION("""COMPUTED_VALUE"""),"DBP02000387")</f>
        <v>DBP02000387</v>
      </c>
      <c r="B389" s="5" t="str">
        <f>IFERROR(__xludf.DUMMYFUNCTION("""COMPUTED_VALUE"""),"adindamarcell19@gmail.com")</f>
        <v>adindamarcell19@gmail.com</v>
      </c>
      <c r="C389" s="3">
        <v>222222.0</v>
      </c>
      <c r="D389" s="3" t="s">
        <v>8</v>
      </c>
      <c r="E389" s="3" t="s">
        <v>9</v>
      </c>
      <c r="F389" s="3" t="s">
        <v>10</v>
      </c>
    </row>
    <row r="390">
      <c r="A390" s="5" t="str">
        <f>IFERROR(__xludf.DUMMYFUNCTION("""COMPUTED_VALUE"""),"DBP02000388")</f>
        <v>DBP02000388</v>
      </c>
      <c r="B390" s="5" t="str">
        <f>IFERROR(__xludf.DUMMYFUNCTION("""COMPUTED_VALUE"""),"keykoartz22@gmail.com")</f>
        <v>keykoartz22@gmail.com</v>
      </c>
      <c r="C390" s="3">
        <v>222222.0</v>
      </c>
      <c r="D390" s="3" t="s">
        <v>8</v>
      </c>
      <c r="E390" s="3" t="s">
        <v>9</v>
      </c>
      <c r="F390" s="3" t="s">
        <v>10</v>
      </c>
    </row>
    <row r="391">
      <c r="A391" s="5" t="str">
        <f>IFERROR(__xludf.DUMMYFUNCTION("""COMPUTED_VALUE"""),"DBP02000389")</f>
        <v>DBP02000389</v>
      </c>
      <c r="B391" s="5" t="str">
        <f>IFERROR(__xludf.DUMMYFUNCTION("""COMPUTED_VALUE"""),"mtkdr.31@gmail.com")</f>
        <v>mtkdr.31@gmail.com</v>
      </c>
      <c r="C391" s="3">
        <v>222222.0</v>
      </c>
      <c r="D391" s="3" t="s">
        <v>8</v>
      </c>
      <c r="E391" s="3" t="s">
        <v>9</v>
      </c>
      <c r="F391" s="3" t="s">
        <v>10</v>
      </c>
    </row>
    <row r="392">
      <c r="A392" s="5" t="str">
        <f>IFERROR(__xludf.DUMMYFUNCTION("""COMPUTED_VALUE"""),"DBP02000390")</f>
        <v>DBP02000390</v>
      </c>
      <c r="B392" s="5" t="str">
        <f>IFERROR(__xludf.DUMMYFUNCTION("""COMPUTED_VALUE"""),"indahscollegelife@gmail.com")</f>
        <v>indahscollegelife@gmail.com</v>
      </c>
      <c r="C392" s="3">
        <v>222222.0</v>
      </c>
      <c r="D392" s="3" t="s">
        <v>8</v>
      </c>
      <c r="E392" s="3" t="s">
        <v>9</v>
      </c>
      <c r="F392" s="3" t="s">
        <v>10</v>
      </c>
    </row>
    <row r="393">
      <c r="A393" s="5" t="str">
        <f>IFERROR(__xludf.DUMMYFUNCTION("""COMPUTED_VALUE"""),"DBP02000391")</f>
        <v>DBP02000391</v>
      </c>
      <c r="B393" s="5" t="str">
        <f>IFERROR(__xludf.DUMMYFUNCTION("""COMPUTED_VALUE"""),"samueltheo2004@gmail.com")</f>
        <v>samueltheo2004@gmail.com</v>
      </c>
      <c r="C393" s="3">
        <v>222222.0</v>
      </c>
      <c r="D393" s="3" t="s">
        <v>8</v>
      </c>
      <c r="E393" s="3" t="s">
        <v>9</v>
      </c>
      <c r="F393" s="3" t="s">
        <v>10</v>
      </c>
    </row>
    <row r="394">
      <c r="A394" s="5" t="str">
        <f>IFERROR(__xludf.DUMMYFUNCTION("""COMPUTED_VALUE"""),"DBP02000392")</f>
        <v>DBP02000392</v>
      </c>
      <c r="B394" s="5" t="str">
        <f>IFERROR(__xludf.DUMMYFUNCTION("""COMPUTED_VALUE"""),"nurulfaalmn@gmail.com")</f>
        <v>nurulfaalmn@gmail.com</v>
      </c>
      <c r="C394" s="3">
        <v>222222.0</v>
      </c>
      <c r="D394" s="3" t="s">
        <v>8</v>
      </c>
      <c r="E394" s="3" t="s">
        <v>9</v>
      </c>
      <c r="F394" s="3" t="s">
        <v>10</v>
      </c>
    </row>
    <row r="395">
      <c r="A395" s="5" t="str">
        <f>IFERROR(__xludf.DUMMYFUNCTION("""COMPUTED_VALUE"""),"DBP02000393")</f>
        <v>DBP02000393</v>
      </c>
      <c r="B395" s="5" t="str">
        <f>IFERROR(__xludf.DUMMYFUNCTION("""COMPUTED_VALUE"""),"syalomvenas@gmail.com")</f>
        <v>syalomvenas@gmail.com</v>
      </c>
      <c r="C395" s="3">
        <v>222222.0</v>
      </c>
      <c r="D395" s="3" t="s">
        <v>8</v>
      </c>
      <c r="E395" s="3" t="s">
        <v>9</v>
      </c>
      <c r="F395" s="3" t="s">
        <v>10</v>
      </c>
    </row>
    <row r="396">
      <c r="A396" s="5" t="str">
        <f>IFERROR(__xludf.DUMMYFUNCTION("""COMPUTED_VALUE"""),"DBP02000394")</f>
        <v>DBP02000394</v>
      </c>
      <c r="B396" s="5" t="str">
        <f>IFERROR(__xludf.DUMMYFUNCTION("""COMPUTED_VALUE"""),"riskasuharyani@gmail.com")</f>
        <v>riskasuharyani@gmail.com</v>
      </c>
      <c r="C396" s="3">
        <v>222222.0</v>
      </c>
      <c r="D396" s="3" t="s">
        <v>8</v>
      </c>
      <c r="E396" s="3" t="s">
        <v>9</v>
      </c>
      <c r="F396" s="3" t="s">
        <v>10</v>
      </c>
    </row>
    <row r="397">
      <c r="A397" s="5" t="str">
        <f>IFERROR(__xludf.DUMMYFUNCTION("""COMPUTED_VALUE"""),"DBP02000395")</f>
        <v>DBP02000395</v>
      </c>
      <c r="B397" s="5" t="str">
        <f>IFERROR(__xludf.DUMMYFUNCTION("""COMPUTED_VALUE"""),"nurul.iskandd@gmail.com")</f>
        <v>nurul.iskandd@gmail.com</v>
      </c>
      <c r="C397" s="3">
        <v>222222.0</v>
      </c>
      <c r="D397" s="3" t="s">
        <v>8</v>
      </c>
      <c r="E397" s="3" t="s">
        <v>9</v>
      </c>
      <c r="F397" s="3" t="s">
        <v>10</v>
      </c>
    </row>
    <row r="398">
      <c r="A398" s="5" t="str">
        <f>IFERROR(__xludf.DUMMYFUNCTION("""COMPUTED_VALUE"""),"DBP02000396")</f>
        <v>DBP02000396</v>
      </c>
      <c r="B398" s="5" t="str">
        <f>IFERROR(__xludf.DUMMYFUNCTION("""COMPUTED_VALUE"""),"nisriinaaadelia1712@gmail.com")</f>
        <v>nisriinaaadelia1712@gmail.com</v>
      </c>
      <c r="C398" s="3">
        <v>222222.0</v>
      </c>
      <c r="D398" s="3" t="s">
        <v>8</v>
      </c>
      <c r="E398" s="3" t="s">
        <v>9</v>
      </c>
      <c r="F398" s="3" t="s">
        <v>10</v>
      </c>
    </row>
    <row r="399">
      <c r="A399" s="5" t="str">
        <f>IFERROR(__xludf.DUMMYFUNCTION("""COMPUTED_VALUE"""),"DBP02000397")</f>
        <v>DBP02000397</v>
      </c>
      <c r="B399" s="5" t="str">
        <f>IFERROR(__xludf.DUMMYFUNCTION("""COMPUTED_VALUE"""),"jdeliandri@gmail.com")</f>
        <v>jdeliandri@gmail.com</v>
      </c>
      <c r="C399" s="3">
        <v>222222.0</v>
      </c>
      <c r="D399" s="3" t="s">
        <v>8</v>
      </c>
      <c r="E399" s="3" t="s">
        <v>9</v>
      </c>
      <c r="F399" s="3" t="s">
        <v>10</v>
      </c>
    </row>
    <row r="400">
      <c r="A400" s="5" t="str">
        <f>IFERROR(__xludf.DUMMYFUNCTION("""COMPUTED_VALUE"""),"DBP02000398")</f>
        <v>DBP02000398</v>
      </c>
      <c r="B400" s="5" t="str">
        <f>IFERROR(__xludf.DUMMYFUNCTION("""COMPUTED_VALUE"""),"mahardikaf@gmail.com")</f>
        <v>mahardikaf@gmail.com</v>
      </c>
      <c r="C400" s="3">
        <v>222222.0</v>
      </c>
      <c r="D400" s="3" t="s">
        <v>8</v>
      </c>
      <c r="E400" s="3" t="s">
        <v>9</v>
      </c>
      <c r="F400" s="3" t="s">
        <v>10</v>
      </c>
    </row>
    <row r="401">
      <c r="A401" s="5" t="str">
        <f>IFERROR(__xludf.DUMMYFUNCTION("""COMPUTED_VALUE"""),"DBP02000399")</f>
        <v>DBP02000399</v>
      </c>
      <c r="B401" s="5" t="str">
        <f>IFERROR(__xludf.DUMMYFUNCTION("""COMPUTED_VALUE"""),"talithabertha@gmail.com")</f>
        <v>talithabertha@gmail.com</v>
      </c>
      <c r="C401" s="3">
        <v>222222.0</v>
      </c>
      <c r="D401" s="3" t="s">
        <v>8</v>
      </c>
      <c r="E401" s="3" t="s">
        <v>9</v>
      </c>
      <c r="F401" s="3" t="s">
        <v>10</v>
      </c>
    </row>
    <row r="402">
      <c r="A402" s="5" t="str">
        <f>IFERROR(__xludf.DUMMYFUNCTION("""COMPUTED_VALUE"""),"DBP02000400")</f>
        <v>DBP02000400</v>
      </c>
      <c r="B402" s="5" t="str">
        <f>IFERROR(__xludf.DUMMYFUNCTION("""COMPUTED_VALUE"""),"sellaa073@gmail.com")</f>
        <v>sellaa073@gmail.com</v>
      </c>
      <c r="C402" s="3">
        <v>222222.0</v>
      </c>
      <c r="D402" s="3" t="s">
        <v>8</v>
      </c>
      <c r="E402" s="3" t="s">
        <v>9</v>
      </c>
      <c r="F402" s="3" t="s">
        <v>10</v>
      </c>
    </row>
    <row r="403">
      <c r="A403" s="5" t="str">
        <f>IFERROR(__xludf.DUMMYFUNCTION("""COMPUTED_VALUE"""),"DBP02000401")</f>
        <v>DBP02000401</v>
      </c>
      <c r="B403" s="5" t="str">
        <f>IFERROR(__xludf.DUMMYFUNCTION("""COMPUTED_VALUE"""),"rafidasalma0802@gmail.com")</f>
        <v>rafidasalma0802@gmail.com</v>
      </c>
      <c r="C403" s="3">
        <v>222222.0</v>
      </c>
      <c r="D403" s="3" t="s">
        <v>8</v>
      </c>
      <c r="E403" s="3" t="s">
        <v>9</v>
      </c>
      <c r="F403" s="3" t="s">
        <v>10</v>
      </c>
    </row>
    <row r="404">
      <c r="A404" s="5" t="str">
        <f>IFERROR(__xludf.DUMMYFUNCTION("""COMPUTED_VALUE"""),"DBP02000402")</f>
        <v>DBP02000402</v>
      </c>
      <c r="B404" s="5" t="str">
        <f>IFERROR(__xludf.DUMMYFUNCTION("""COMPUTED_VALUE"""),"jumadilahmadsafi21@gmail.com")</f>
        <v>jumadilahmadsafi21@gmail.com</v>
      </c>
      <c r="C404" s="3">
        <v>222222.0</v>
      </c>
      <c r="D404" s="3" t="s">
        <v>8</v>
      </c>
      <c r="E404" s="3" t="s">
        <v>9</v>
      </c>
      <c r="F404" s="3" t="s">
        <v>10</v>
      </c>
    </row>
    <row r="405">
      <c r="A405" s="5" t="str">
        <f>IFERROR(__xludf.DUMMYFUNCTION("""COMPUTED_VALUE"""),"DBP02000403")</f>
        <v>DBP02000403</v>
      </c>
      <c r="B405" s="5" t="str">
        <f>IFERROR(__xludf.DUMMYFUNCTION("""COMPUTED_VALUE"""),"vickyzaynulfnc01@gmail.com")</f>
        <v>vickyzaynulfnc01@gmail.com</v>
      </c>
      <c r="C405" s="3">
        <v>222222.0</v>
      </c>
      <c r="D405" s="3" t="s">
        <v>8</v>
      </c>
      <c r="E405" s="3" t="s">
        <v>9</v>
      </c>
      <c r="F405" s="3" t="s">
        <v>10</v>
      </c>
    </row>
    <row r="406">
      <c r="A406" s="5" t="str">
        <f>IFERROR(__xludf.DUMMYFUNCTION("""COMPUTED_VALUE"""),"DBP02000404")</f>
        <v>DBP02000404</v>
      </c>
      <c r="B406" s="5" t="str">
        <f>IFERROR(__xludf.DUMMYFUNCTION("""COMPUTED_VALUE"""),"efisetianingsih691@gmail.com")</f>
        <v>efisetianingsih691@gmail.com</v>
      </c>
      <c r="C406" s="3">
        <v>222222.0</v>
      </c>
      <c r="D406" s="3" t="s">
        <v>8</v>
      </c>
      <c r="E406" s="3" t="s">
        <v>9</v>
      </c>
      <c r="F406" s="3" t="s">
        <v>10</v>
      </c>
    </row>
    <row r="407">
      <c r="A407" s="5" t="str">
        <f>IFERROR(__xludf.DUMMYFUNCTION("""COMPUTED_VALUE"""),"DBP02000405")</f>
        <v>DBP02000405</v>
      </c>
      <c r="B407" s="5" t="str">
        <f>IFERROR(__xludf.DUMMYFUNCTION("""COMPUTED_VALUE"""),"laboraprb@gmail.com")</f>
        <v>laboraprb@gmail.com</v>
      </c>
      <c r="C407" s="3">
        <v>222222.0</v>
      </c>
      <c r="D407" s="3" t="s">
        <v>8</v>
      </c>
      <c r="E407" s="3" t="s">
        <v>9</v>
      </c>
      <c r="F407" s="3" t="s">
        <v>10</v>
      </c>
    </row>
    <row r="408">
      <c r="A408" s="5" t="str">
        <f>IFERROR(__xludf.DUMMYFUNCTION("""COMPUTED_VALUE"""),"DBP02000406")</f>
        <v>DBP02000406</v>
      </c>
      <c r="B408" s="5" t="str">
        <f>IFERROR(__xludf.DUMMYFUNCTION("""COMPUTED_VALUE"""),"bagasadrian2607@gmail.com")</f>
        <v>bagasadrian2607@gmail.com</v>
      </c>
      <c r="C408" s="3">
        <v>222222.0</v>
      </c>
      <c r="D408" s="3" t="s">
        <v>8</v>
      </c>
      <c r="E408" s="3" t="s">
        <v>9</v>
      </c>
      <c r="F408" s="3" t="s">
        <v>10</v>
      </c>
    </row>
    <row r="409">
      <c r="A409" s="5" t="str">
        <f>IFERROR(__xludf.DUMMYFUNCTION("""COMPUTED_VALUE"""),"DBP02000407")</f>
        <v>DBP02000407</v>
      </c>
      <c r="B409" s="5" t="str">
        <f>IFERROR(__xludf.DUMMYFUNCTION("""COMPUTED_VALUE"""),"lhammuhamad6@gmail.com")</f>
        <v>lhammuhamad6@gmail.com</v>
      </c>
      <c r="C409" s="3">
        <v>222222.0</v>
      </c>
      <c r="D409" s="3" t="s">
        <v>8</v>
      </c>
      <c r="E409" s="3" t="s">
        <v>9</v>
      </c>
      <c r="F409" s="3" t="s">
        <v>10</v>
      </c>
    </row>
    <row r="410">
      <c r="A410" s="5" t="str">
        <f>IFERROR(__xludf.DUMMYFUNCTION("""COMPUTED_VALUE"""),"DBP02000408")</f>
        <v>DBP02000408</v>
      </c>
      <c r="B410" s="5" t="str">
        <f>IFERROR(__xludf.DUMMYFUNCTION("""COMPUTED_VALUE"""),"aprianaerlita@gmail.com")</f>
        <v>aprianaerlita@gmail.com</v>
      </c>
      <c r="C410" s="3">
        <v>222222.0</v>
      </c>
      <c r="D410" s="3" t="s">
        <v>8</v>
      </c>
      <c r="E410" s="3" t="s">
        <v>9</v>
      </c>
      <c r="F410" s="3" t="s">
        <v>10</v>
      </c>
    </row>
    <row r="411">
      <c r="A411" s="5" t="str">
        <f>IFERROR(__xludf.DUMMYFUNCTION("""COMPUTED_VALUE"""),"DBP02000409")</f>
        <v>DBP02000409</v>
      </c>
      <c r="B411" s="5" t="str">
        <f>IFERROR(__xludf.DUMMYFUNCTION("""COMPUTED_VALUE"""),"rozi36.r3@gmail.com")</f>
        <v>rozi36.r3@gmail.com</v>
      </c>
      <c r="C411" s="3">
        <v>222222.0</v>
      </c>
      <c r="D411" s="3" t="s">
        <v>8</v>
      </c>
      <c r="E411" s="3" t="s">
        <v>9</v>
      </c>
      <c r="F411" s="3" t="s">
        <v>10</v>
      </c>
    </row>
    <row r="412">
      <c r="A412" s="5" t="str">
        <f>IFERROR(__xludf.DUMMYFUNCTION("""COMPUTED_VALUE"""),"DBP02000410")</f>
        <v>DBP02000410</v>
      </c>
      <c r="B412" s="5" t="str">
        <f>IFERROR(__xludf.DUMMYFUNCTION("""COMPUTED_VALUE"""),"sandradewiwignjo@gmail.com")</f>
        <v>sandradewiwignjo@gmail.com</v>
      </c>
      <c r="C412" s="3">
        <v>222222.0</v>
      </c>
      <c r="D412" s="3" t="s">
        <v>8</v>
      </c>
      <c r="E412" s="3" t="s">
        <v>9</v>
      </c>
      <c r="F412" s="3" t="s">
        <v>10</v>
      </c>
    </row>
    <row r="413">
      <c r="A413" s="5" t="str">
        <f>IFERROR(__xludf.DUMMYFUNCTION("""COMPUTED_VALUE"""),"DBP02000411")</f>
        <v>DBP02000411</v>
      </c>
      <c r="B413" s="5" t="str">
        <f>IFERROR(__xludf.DUMMYFUNCTION("""COMPUTED_VALUE"""),"fea1507@gmail.com")</f>
        <v>fea1507@gmail.com</v>
      </c>
      <c r="C413" s="3">
        <v>222222.0</v>
      </c>
      <c r="D413" s="3" t="s">
        <v>8</v>
      </c>
      <c r="E413" s="3" t="s">
        <v>9</v>
      </c>
      <c r="F413" s="3" t="s">
        <v>10</v>
      </c>
    </row>
    <row r="414">
      <c r="A414" s="5" t="str">
        <f>IFERROR(__xludf.DUMMYFUNCTION("""COMPUTED_VALUE"""),"DBP02000412")</f>
        <v>DBP02000412</v>
      </c>
      <c r="B414" s="5" t="str">
        <f>IFERROR(__xludf.DUMMYFUNCTION("""COMPUTED_VALUE"""),"rizqanurizza03@gmail.com")</f>
        <v>rizqanurizza03@gmail.com</v>
      </c>
      <c r="C414" s="3">
        <v>222222.0</v>
      </c>
      <c r="D414" s="3" t="s">
        <v>8</v>
      </c>
      <c r="E414" s="3" t="s">
        <v>9</v>
      </c>
      <c r="F414" s="3" t="s">
        <v>10</v>
      </c>
    </row>
    <row r="415">
      <c r="A415" s="5" t="str">
        <f>IFERROR(__xludf.DUMMYFUNCTION("""COMPUTED_VALUE"""),"DBP02000413")</f>
        <v>DBP02000413</v>
      </c>
      <c r="B415" s="5" t="str">
        <f>IFERROR(__xludf.DUMMYFUNCTION("""COMPUTED_VALUE"""),"salampessyhasandin@gmail.com")</f>
        <v>salampessyhasandin@gmail.com</v>
      </c>
      <c r="C415" s="3">
        <v>222222.0</v>
      </c>
      <c r="D415" s="3" t="s">
        <v>8</v>
      </c>
      <c r="E415" s="3" t="s">
        <v>9</v>
      </c>
      <c r="F415" s="3" t="s">
        <v>10</v>
      </c>
    </row>
    <row r="416">
      <c r="A416" s="5" t="str">
        <f>IFERROR(__xludf.DUMMYFUNCTION("""COMPUTED_VALUE"""),"DBP02000414")</f>
        <v>DBP02000414</v>
      </c>
      <c r="B416" s="5" t="str">
        <f>IFERROR(__xludf.DUMMYFUNCTION("""COMPUTED_VALUE"""),"aqilfais0002@gmail.com")</f>
        <v>aqilfais0002@gmail.com</v>
      </c>
      <c r="C416" s="3">
        <v>222222.0</v>
      </c>
      <c r="D416" s="3" t="s">
        <v>8</v>
      </c>
      <c r="E416" s="3" t="s">
        <v>9</v>
      </c>
      <c r="F416" s="3" t="s">
        <v>10</v>
      </c>
    </row>
    <row r="417">
      <c r="A417" s="5" t="str">
        <f>IFERROR(__xludf.DUMMYFUNCTION("""COMPUTED_VALUE"""),"DBP02000415")</f>
        <v>DBP02000415</v>
      </c>
      <c r="B417" s="5" t="str">
        <f>IFERROR(__xludf.DUMMYFUNCTION("""COMPUTED_VALUE"""),"shastayaziraazahr@gmail.com")</f>
        <v>shastayaziraazahr@gmail.com</v>
      </c>
      <c r="C417" s="3">
        <v>222222.0</v>
      </c>
      <c r="D417" s="3" t="s">
        <v>8</v>
      </c>
      <c r="E417" s="3" t="s">
        <v>9</v>
      </c>
      <c r="F417" s="3" t="s">
        <v>10</v>
      </c>
    </row>
    <row r="418">
      <c r="A418" s="5" t="str">
        <f>IFERROR(__xludf.DUMMYFUNCTION("""COMPUTED_VALUE"""),"DBP02000416")</f>
        <v>DBP02000416</v>
      </c>
      <c r="B418" s="5" t="str">
        <f>IFERROR(__xludf.DUMMYFUNCTION("""COMPUTED_VALUE"""),"ebynmajid30@gmail.com")</f>
        <v>ebynmajid30@gmail.com</v>
      </c>
      <c r="C418" s="3">
        <v>222222.0</v>
      </c>
      <c r="D418" s="3" t="s">
        <v>8</v>
      </c>
      <c r="E418" s="3" t="s">
        <v>9</v>
      </c>
      <c r="F418" s="3" t="s">
        <v>10</v>
      </c>
    </row>
    <row r="419">
      <c r="A419" s="5" t="str">
        <f>IFERROR(__xludf.DUMMYFUNCTION("""COMPUTED_VALUE"""),"DBP02000417")</f>
        <v>DBP02000417</v>
      </c>
      <c r="B419" s="5" t="str">
        <f>IFERROR(__xludf.DUMMYFUNCTION("""COMPUTED_VALUE"""),"faadihillahcaca11@gmail.com")</f>
        <v>faadihillahcaca11@gmail.com</v>
      </c>
      <c r="C419" s="3">
        <v>222222.0</v>
      </c>
      <c r="D419" s="3" t="s">
        <v>8</v>
      </c>
      <c r="E419" s="3" t="s">
        <v>9</v>
      </c>
      <c r="F419" s="3" t="s">
        <v>10</v>
      </c>
    </row>
    <row r="420">
      <c r="A420" s="5" t="str">
        <f>IFERROR(__xludf.DUMMYFUNCTION("""COMPUTED_VALUE"""),"DBP02000418")</f>
        <v>DBP02000418</v>
      </c>
      <c r="B420" s="5" t="str">
        <f>IFERROR(__xludf.DUMMYFUNCTION("""COMPUTED_VALUE"""),"sastiwulandari27@gmail.com")</f>
        <v>sastiwulandari27@gmail.com</v>
      </c>
      <c r="C420" s="3">
        <v>222222.0</v>
      </c>
      <c r="D420" s="3" t="s">
        <v>8</v>
      </c>
      <c r="E420" s="3" t="s">
        <v>9</v>
      </c>
      <c r="F420" s="3" t="s">
        <v>10</v>
      </c>
    </row>
    <row r="421">
      <c r="A421" s="5" t="str">
        <f>IFERROR(__xludf.DUMMYFUNCTION("""COMPUTED_VALUE"""),"DBP02000419")</f>
        <v>DBP02000419</v>
      </c>
      <c r="B421" s="5" t="str">
        <f>IFERROR(__xludf.DUMMYFUNCTION("""COMPUTED_VALUE"""),"ghinalawyer@gmail.com")</f>
        <v>ghinalawyer@gmail.com</v>
      </c>
      <c r="C421" s="3">
        <v>222222.0</v>
      </c>
      <c r="D421" s="3" t="s">
        <v>8</v>
      </c>
      <c r="E421" s="3" t="s">
        <v>9</v>
      </c>
      <c r="F421" s="3" t="s">
        <v>10</v>
      </c>
    </row>
    <row r="422">
      <c r="A422" s="5" t="str">
        <f>IFERROR(__xludf.DUMMYFUNCTION("""COMPUTED_VALUE"""),"DBP02000420")</f>
        <v>DBP02000420</v>
      </c>
      <c r="B422" s="5"/>
      <c r="C422" s="3">
        <v>222222.0</v>
      </c>
      <c r="D422" s="3" t="s">
        <v>8</v>
      </c>
      <c r="E422" s="3" t="s">
        <v>9</v>
      </c>
      <c r="F422" s="3" t="s">
        <v>10</v>
      </c>
    </row>
    <row r="423">
      <c r="A423" s="5" t="str">
        <f>IFERROR(__xludf.DUMMYFUNCTION("""COMPUTED_VALUE"""),"DBP02000421")</f>
        <v>DBP02000421</v>
      </c>
      <c r="B423" s="5" t="str">
        <f>IFERROR(__xludf.DUMMYFUNCTION("""COMPUTED_VALUE"""),"vanessa.olivia71@gmail.com")</f>
        <v>vanessa.olivia71@gmail.com</v>
      </c>
      <c r="C423" s="3">
        <v>222222.0</v>
      </c>
      <c r="D423" s="3" t="s">
        <v>8</v>
      </c>
      <c r="E423" s="3" t="s">
        <v>9</v>
      </c>
      <c r="F423" s="3" t="s">
        <v>10</v>
      </c>
    </row>
    <row r="424">
      <c r="A424" s="5" t="str">
        <f>IFERROR(__xludf.DUMMYFUNCTION("""COMPUTED_VALUE"""),"DBP02000422")</f>
        <v>DBP02000422</v>
      </c>
      <c r="B424" s="5" t="str">
        <f>IFERROR(__xludf.DUMMYFUNCTION("""COMPUTED_VALUE"""),"ahmadsulaeman084@gmail.com")</f>
        <v>ahmadsulaeman084@gmail.com</v>
      </c>
      <c r="C424" s="3">
        <v>222222.0</v>
      </c>
      <c r="D424" s="3" t="s">
        <v>8</v>
      </c>
      <c r="E424" s="3" t="s">
        <v>9</v>
      </c>
      <c r="F424" s="3" t="s">
        <v>10</v>
      </c>
    </row>
    <row r="425">
      <c r="A425" s="5" t="str">
        <f>IFERROR(__xludf.DUMMYFUNCTION("""COMPUTED_VALUE"""),"DBP02000423")</f>
        <v>DBP02000423</v>
      </c>
      <c r="B425" s="5" t="str">
        <f>IFERROR(__xludf.DUMMYFUNCTION("""COMPUTED_VALUE"""),"mikael.rizki.pe@gmail.com")</f>
        <v>mikael.rizki.pe@gmail.com</v>
      </c>
      <c r="C425" s="3">
        <v>222222.0</v>
      </c>
      <c r="D425" s="3" t="s">
        <v>8</v>
      </c>
      <c r="E425" s="3" t="s">
        <v>9</v>
      </c>
      <c r="F425" s="3" t="s">
        <v>10</v>
      </c>
    </row>
    <row r="426">
      <c r="A426" s="5" t="str">
        <f>IFERROR(__xludf.DUMMYFUNCTION("""COMPUTED_VALUE"""),"DBP02000424")</f>
        <v>DBP02000424</v>
      </c>
      <c r="B426" s="5" t="str">
        <f>IFERROR(__xludf.DUMMYFUNCTION("""COMPUTED_VALUE"""),"ferdiansyahputrap@gmail.com")</f>
        <v>ferdiansyahputrap@gmail.com</v>
      </c>
      <c r="C426" s="3">
        <v>222222.0</v>
      </c>
      <c r="D426" s="3" t="s">
        <v>8</v>
      </c>
      <c r="E426" s="3" t="s">
        <v>9</v>
      </c>
      <c r="F426" s="3" t="s">
        <v>10</v>
      </c>
    </row>
    <row r="427">
      <c r="A427" s="5" t="str">
        <f>IFERROR(__xludf.DUMMYFUNCTION("""COMPUTED_VALUE"""),"DBP02000425")</f>
        <v>DBP02000425</v>
      </c>
      <c r="B427" s="5" t="str">
        <f>IFERROR(__xludf.DUMMYFUNCTION("""COMPUTED_VALUE"""),"hafidazis385@gmail.com")</f>
        <v>hafidazis385@gmail.com</v>
      </c>
      <c r="C427" s="3">
        <v>222222.0</v>
      </c>
      <c r="D427" s="3" t="s">
        <v>8</v>
      </c>
      <c r="E427" s="3" t="s">
        <v>9</v>
      </c>
      <c r="F427" s="3" t="s">
        <v>10</v>
      </c>
    </row>
    <row r="428">
      <c r="A428" s="5" t="str">
        <f>IFERROR(__xludf.DUMMYFUNCTION("""COMPUTED_VALUE"""),"DBP02000426")</f>
        <v>DBP02000426</v>
      </c>
      <c r="B428" s="5" t="str">
        <f>IFERROR(__xludf.DUMMYFUNCTION("""COMPUTED_VALUE"""),"supriadiade24@gmail.com")</f>
        <v>supriadiade24@gmail.com</v>
      </c>
      <c r="C428" s="3">
        <v>222222.0</v>
      </c>
      <c r="D428" s="3" t="s">
        <v>8</v>
      </c>
      <c r="E428" s="3" t="s">
        <v>9</v>
      </c>
      <c r="F428" s="3" t="s">
        <v>10</v>
      </c>
    </row>
    <row r="429">
      <c r="A429" s="5" t="str">
        <f>IFERROR(__xludf.DUMMYFUNCTION("""COMPUTED_VALUE"""),"DBP02000427")</f>
        <v>DBP02000427</v>
      </c>
      <c r="B429" s="5" t="str">
        <f>IFERROR(__xludf.DUMMYFUNCTION("""COMPUTED_VALUE"""),"briantar9@gmail.com")</f>
        <v>briantar9@gmail.com</v>
      </c>
      <c r="C429" s="3">
        <v>222222.0</v>
      </c>
      <c r="D429" s="3" t="s">
        <v>8</v>
      </c>
      <c r="E429" s="3" t="s">
        <v>9</v>
      </c>
      <c r="F429" s="3" t="s">
        <v>10</v>
      </c>
    </row>
    <row r="430">
      <c r="A430" s="5" t="str">
        <f>IFERROR(__xludf.DUMMYFUNCTION("""COMPUTED_VALUE"""),"DBP02000428")</f>
        <v>DBP02000428</v>
      </c>
      <c r="B430" s="5" t="str">
        <f>IFERROR(__xludf.DUMMYFUNCTION("""COMPUTED_VALUE"""),"mariaimanuel20@gmail.com")</f>
        <v>mariaimanuel20@gmail.com</v>
      </c>
      <c r="C430" s="3">
        <v>222222.0</v>
      </c>
      <c r="D430" s="3" t="s">
        <v>8</v>
      </c>
      <c r="E430" s="3" t="s">
        <v>9</v>
      </c>
      <c r="F430" s="3" t="s">
        <v>10</v>
      </c>
    </row>
    <row r="431">
      <c r="A431" s="5" t="str">
        <f>IFERROR(__xludf.DUMMYFUNCTION("""COMPUTED_VALUE"""),"DBP02000429")</f>
        <v>DBP02000429</v>
      </c>
      <c r="B431" s="5" t="str">
        <f>IFERROR(__xludf.DUMMYFUNCTION("""COMPUTED_VALUE"""),"jeanny.mtl@gmail.com")</f>
        <v>jeanny.mtl@gmail.com</v>
      </c>
      <c r="C431" s="3">
        <v>222222.0</v>
      </c>
      <c r="D431" s="3" t="s">
        <v>8</v>
      </c>
      <c r="E431" s="3" t="s">
        <v>9</v>
      </c>
      <c r="F431" s="3" t="s">
        <v>10</v>
      </c>
    </row>
    <row r="432">
      <c r="A432" s="5" t="str">
        <f>IFERROR(__xludf.DUMMYFUNCTION("""COMPUTED_VALUE"""),"DBP02000430")</f>
        <v>DBP02000430</v>
      </c>
      <c r="B432" s="5" t="str">
        <f>IFERROR(__xludf.DUMMYFUNCTION("""COMPUTED_VALUE"""),"nisa022003@gmail.com")</f>
        <v>nisa022003@gmail.com</v>
      </c>
      <c r="C432" s="3">
        <v>222222.0</v>
      </c>
      <c r="D432" s="3" t="s">
        <v>8</v>
      </c>
      <c r="E432" s="3" t="s">
        <v>9</v>
      </c>
      <c r="F432" s="3" t="s">
        <v>10</v>
      </c>
    </row>
    <row r="433">
      <c r="A433" s="5" t="str">
        <f>IFERROR(__xludf.DUMMYFUNCTION("""COMPUTED_VALUE"""),"DBP02000431")</f>
        <v>DBP02000431</v>
      </c>
      <c r="B433" s="5" t="str">
        <f>IFERROR(__xludf.DUMMYFUNCTION("""COMPUTED_VALUE"""),"firanadhea16@gmail.com")</f>
        <v>firanadhea16@gmail.com</v>
      </c>
      <c r="C433" s="3">
        <v>222222.0</v>
      </c>
      <c r="D433" s="3" t="s">
        <v>8</v>
      </c>
      <c r="E433" s="3" t="s">
        <v>9</v>
      </c>
      <c r="F433" s="3" t="s">
        <v>10</v>
      </c>
    </row>
    <row r="434">
      <c r="A434" s="5" t="str">
        <f>IFERROR(__xludf.DUMMYFUNCTION("""COMPUTED_VALUE"""),"DBP02000432")</f>
        <v>DBP02000432</v>
      </c>
      <c r="B434" s="5" t="str">
        <f>IFERROR(__xludf.DUMMYFUNCTION("""COMPUTED_VALUE"""),"gabrielaamanda289@gmail.com")</f>
        <v>gabrielaamanda289@gmail.com</v>
      </c>
      <c r="C434" s="3">
        <v>222222.0</v>
      </c>
      <c r="D434" s="3" t="s">
        <v>8</v>
      </c>
      <c r="E434" s="3" t="s">
        <v>9</v>
      </c>
      <c r="F434" s="3" t="s">
        <v>10</v>
      </c>
    </row>
    <row r="435">
      <c r="A435" s="5" t="str">
        <f>IFERROR(__xludf.DUMMYFUNCTION("""COMPUTED_VALUE"""),"DBP02000433")</f>
        <v>DBP02000433</v>
      </c>
      <c r="B435" s="5" t="str">
        <f>IFERROR(__xludf.DUMMYFUNCTION("""COMPUTED_VALUE"""),"edwinhanswijaya@gmail.com")</f>
        <v>edwinhanswijaya@gmail.com</v>
      </c>
      <c r="C435" s="3">
        <v>222222.0</v>
      </c>
      <c r="D435" s="3" t="s">
        <v>8</v>
      </c>
      <c r="E435" s="3" t="s">
        <v>9</v>
      </c>
      <c r="F435" s="3" t="s">
        <v>10</v>
      </c>
    </row>
    <row r="436">
      <c r="A436" s="5" t="str">
        <f>IFERROR(__xludf.DUMMYFUNCTION("""COMPUTED_VALUE"""),"DBP02000434")</f>
        <v>DBP02000434</v>
      </c>
      <c r="B436" s="5" t="str">
        <f>IFERROR(__xludf.DUMMYFUNCTION("""COMPUTED_VALUE"""),"velliciajesslyn@gmail.com")</f>
        <v>velliciajesslyn@gmail.com</v>
      </c>
      <c r="C436" s="3">
        <v>222222.0</v>
      </c>
      <c r="D436" s="3" t="s">
        <v>8</v>
      </c>
      <c r="E436" s="3" t="s">
        <v>9</v>
      </c>
      <c r="F436" s="3" t="s">
        <v>10</v>
      </c>
    </row>
    <row r="437">
      <c r="A437" s="5" t="str">
        <f>IFERROR(__xludf.DUMMYFUNCTION("""COMPUTED_VALUE"""),"DBP02000435")</f>
        <v>DBP02000435</v>
      </c>
      <c r="B437" s="5" t="str">
        <f>IFERROR(__xludf.DUMMYFUNCTION("""COMPUTED_VALUE"""),"situmorangmarina@gmail.com")</f>
        <v>situmorangmarina@gmail.com</v>
      </c>
      <c r="C437" s="3">
        <v>222222.0</v>
      </c>
      <c r="D437" s="3" t="s">
        <v>8</v>
      </c>
      <c r="E437" s="3" t="s">
        <v>9</v>
      </c>
      <c r="F437" s="3" t="s">
        <v>10</v>
      </c>
    </row>
    <row r="438">
      <c r="A438" s="5" t="str">
        <f>IFERROR(__xludf.DUMMYFUNCTION("""COMPUTED_VALUE"""),"DBP02000436")</f>
        <v>DBP02000436</v>
      </c>
      <c r="B438" s="5" t="str">
        <f>IFERROR(__xludf.DUMMYFUNCTION("""COMPUTED_VALUE"""),"athayajudith@gmail.com")</f>
        <v>athayajudith@gmail.com</v>
      </c>
      <c r="C438" s="3">
        <v>222222.0</v>
      </c>
      <c r="D438" s="3" t="s">
        <v>8</v>
      </c>
      <c r="E438" s="3" t="s">
        <v>9</v>
      </c>
      <c r="F438" s="3" t="s">
        <v>10</v>
      </c>
    </row>
    <row r="439">
      <c r="A439" s="5" t="str">
        <f>IFERROR(__xludf.DUMMYFUNCTION("""COMPUTED_VALUE"""),"DBP02000437")</f>
        <v>DBP02000437</v>
      </c>
      <c r="B439" s="5" t="str">
        <f>IFERROR(__xludf.DUMMYFUNCTION("""COMPUTED_VALUE"""),"rindiaudyta1@gmail.com")</f>
        <v>rindiaudyta1@gmail.com</v>
      </c>
      <c r="C439" s="3">
        <v>222222.0</v>
      </c>
      <c r="D439" s="3" t="s">
        <v>8</v>
      </c>
      <c r="E439" s="3" t="s">
        <v>9</v>
      </c>
      <c r="F439" s="3" t="s">
        <v>10</v>
      </c>
    </row>
    <row r="440">
      <c r="A440" s="5" t="str">
        <f>IFERROR(__xludf.DUMMYFUNCTION("""COMPUTED_VALUE"""),"DBP02000438")</f>
        <v>DBP02000438</v>
      </c>
      <c r="B440" s="5" t="str">
        <f>IFERROR(__xludf.DUMMYFUNCTION("""COMPUTED_VALUE"""),"ronaldodwiputra83@gmail.com")</f>
        <v>ronaldodwiputra83@gmail.com</v>
      </c>
      <c r="C440" s="3">
        <v>222222.0</v>
      </c>
      <c r="D440" s="3" t="s">
        <v>8</v>
      </c>
      <c r="E440" s="3" t="s">
        <v>9</v>
      </c>
      <c r="F440" s="3" t="s">
        <v>10</v>
      </c>
    </row>
    <row r="441">
      <c r="A441" s="5" t="str">
        <f>IFERROR(__xludf.DUMMYFUNCTION("""COMPUTED_VALUE"""),"DBP02000439")</f>
        <v>DBP02000439</v>
      </c>
      <c r="B441" s="5" t="str">
        <f>IFERROR(__xludf.DUMMYFUNCTION("""COMPUTED_VALUE"""),"ripaldi89@gmail.com")</f>
        <v>ripaldi89@gmail.com</v>
      </c>
      <c r="C441" s="3">
        <v>222222.0</v>
      </c>
      <c r="D441" s="3" t="s">
        <v>8</v>
      </c>
      <c r="E441" s="3" t="s">
        <v>9</v>
      </c>
      <c r="F441" s="3" t="s">
        <v>10</v>
      </c>
    </row>
    <row r="442">
      <c r="A442" s="5" t="str">
        <f>IFERROR(__xludf.DUMMYFUNCTION("""COMPUTED_VALUE"""),"DBP02000440")</f>
        <v>DBP02000440</v>
      </c>
      <c r="B442" s="5" t="str">
        <f>IFERROR(__xludf.DUMMYFUNCTION("""COMPUTED_VALUE"""),"tantriprihatiwi@gmail.com")</f>
        <v>tantriprihatiwi@gmail.com</v>
      </c>
      <c r="C442" s="3">
        <v>222222.0</v>
      </c>
      <c r="D442" s="3" t="s">
        <v>8</v>
      </c>
      <c r="E442" s="3" t="s">
        <v>9</v>
      </c>
      <c r="F442" s="3" t="s">
        <v>10</v>
      </c>
    </row>
    <row r="443">
      <c r="A443" s="5" t="str">
        <f>IFERROR(__xludf.DUMMYFUNCTION("""COMPUTED_VALUE"""),"DBP02000441")</f>
        <v>DBP02000441</v>
      </c>
      <c r="B443" s="5" t="str">
        <f>IFERROR(__xludf.DUMMYFUNCTION("""COMPUTED_VALUE"""),"destisarah@gmail.com")</f>
        <v>destisarah@gmail.com</v>
      </c>
      <c r="C443" s="3">
        <v>222222.0</v>
      </c>
      <c r="D443" s="3" t="s">
        <v>8</v>
      </c>
      <c r="E443" s="3" t="s">
        <v>9</v>
      </c>
      <c r="F443" s="3" t="s">
        <v>10</v>
      </c>
    </row>
    <row r="444">
      <c r="A444" s="5" t="str">
        <f>IFERROR(__xludf.DUMMYFUNCTION("""COMPUTED_VALUE"""),"DBP02000442")</f>
        <v>DBP02000442</v>
      </c>
      <c r="B444" s="5" t="str">
        <f>IFERROR(__xludf.DUMMYFUNCTION("""COMPUTED_VALUE"""),"alnaliviaf@gmail.com")</f>
        <v>alnaliviaf@gmail.com</v>
      </c>
      <c r="C444" s="3">
        <v>222222.0</v>
      </c>
      <c r="D444" s="3" t="s">
        <v>8</v>
      </c>
      <c r="E444" s="3" t="s">
        <v>9</v>
      </c>
      <c r="F444" s="3" t="s">
        <v>10</v>
      </c>
    </row>
    <row r="445">
      <c r="A445" s="5" t="str">
        <f>IFERROR(__xludf.DUMMYFUNCTION("""COMPUTED_VALUE"""),"DBP02000443")</f>
        <v>DBP02000443</v>
      </c>
      <c r="B445" s="5" t="str">
        <f>IFERROR(__xludf.DUMMYFUNCTION("""COMPUTED_VALUE"""),"madonnamatildah@gmail.com")</f>
        <v>madonnamatildah@gmail.com</v>
      </c>
      <c r="C445" s="3">
        <v>222222.0</v>
      </c>
      <c r="D445" s="3" t="s">
        <v>8</v>
      </c>
      <c r="E445" s="3" t="s">
        <v>9</v>
      </c>
      <c r="F445" s="3" t="s">
        <v>10</v>
      </c>
    </row>
    <row r="446">
      <c r="A446" s="5" t="str">
        <f>IFERROR(__xludf.DUMMYFUNCTION("""COMPUTED_VALUE"""),"DBP02000444")</f>
        <v>DBP02000444</v>
      </c>
      <c r="B446" s="5" t="str">
        <f>IFERROR(__xludf.DUMMYFUNCTION("""COMPUTED_VALUE"""),"zefanya.anw@gmail.com")</f>
        <v>zefanya.anw@gmail.com</v>
      </c>
      <c r="C446" s="3">
        <v>222222.0</v>
      </c>
      <c r="D446" s="3" t="s">
        <v>8</v>
      </c>
      <c r="E446" s="3" t="s">
        <v>9</v>
      </c>
      <c r="F446" s="3" t="s">
        <v>10</v>
      </c>
    </row>
    <row r="447">
      <c r="A447" s="5" t="str">
        <f>IFERROR(__xludf.DUMMYFUNCTION("""COMPUTED_VALUE"""),"DBP02000445")</f>
        <v>DBP02000445</v>
      </c>
      <c r="B447" s="5" t="str">
        <f>IFERROR(__xludf.DUMMYFUNCTION("""COMPUTED_VALUE"""),"stevanka253@gmail.com")</f>
        <v>stevanka253@gmail.com</v>
      </c>
      <c r="C447" s="3">
        <v>222222.0</v>
      </c>
      <c r="D447" s="3" t="s">
        <v>8</v>
      </c>
      <c r="E447" s="3" t="s">
        <v>9</v>
      </c>
      <c r="F447" s="3" t="s">
        <v>10</v>
      </c>
    </row>
    <row r="448">
      <c r="A448" s="5" t="str">
        <f>IFERROR(__xludf.DUMMYFUNCTION("""COMPUTED_VALUE"""),"DBP02000446")</f>
        <v>DBP02000446</v>
      </c>
      <c r="B448" s="5" t="str">
        <f>IFERROR(__xludf.DUMMYFUNCTION("""COMPUTED_VALUE"""),"putri.octaviani354@gmail.com")</f>
        <v>putri.octaviani354@gmail.com</v>
      </c>
      <c r="C448" s="3">
        <v>222222.0</v>
      </c>
      <c r="D448" s="3" t="s">
        <v>8</v>
      </c>
      <c r="E448" s="3" t="s">
        <v>9</v>
      </c>
      <c r="F448" s="3" t="s">
        <v>10</v>
      </c>
    </row>
    <row r="449">
      <c r="A449" s="5" t="str">
        <f>IFERROR(__xludf.DUMMYFUNCTION("""COMPUTED_VALUE"""),"DBP02000447")</f>
        <v>DBP02000447</v>
      </c>
      <c r="B449" s="5" t="str">
        <f>IFERROR(__xludf.DUMMYFUNCTION("""COMPUTED_VALUE"""),"valentinerasi@gmail.com")</f>
        <v>valentinerasi@gmail.com</v>
      </c>
      <c r="C449" s="3">
        <v>222222.0</v>
      </c>
      <c r="D449" s="3" t="s">
        <v>8</v>
      </c>
      <c r="E449" s="3" t="s">
        <v>9</v>
      </c>
      <c r="F449" s="3" t="s">
        <v>10</v>
      </c>
    </row>
    <row r="450">
      <c r="A450" s="5" t="str">
        <f>IFERROR(__xludf.DUMMYFUNCTION("""COMPUTED_VALUE"""),"DBP02000448")</f>
        <v>DBP02000448</v>
      </c>
      <c r="B450" s="5" t="str">
        <f>IFERROR(__xludf.DUMMYFUNCTION("""COMPUTED_VALUE"""),"shofian.edu@gmail.com")</f>
        <v>shofian.edu@gmail.com</v>
      </c>
      <c r="C450" s="3">
        <v>222222.0</v>
      </c>
      <c r="D450" s="3" t="s">
        <v>8</v>
      </c>
      <c r="E450" s="3" t="s">
        <v>9</v>
      </c>
      <c r="F450" s="3" t="s">
        <v>10</v>
      </c>
    </row>
    <row r="451">
      <c r="A451" s="5" t="str">
        <f>IFERROR(__xludf.DUMMYFUNCTION("""COMPUTED_VALUE"""),"DBP02000449")</f>
        <v>DBP02000449</v>
      </c>
      <c r="B451" s="5" t="str">
        <f>IFERROR(__xludf.DUMMYFUNCTION("""COMPUTED_VALUE"""),"valentiaagatha2226@gmail.com")</f>
        <v>valentiaagatha2226@gmail.com</v>
      </c>
      <c r="C451" s="3">
        <v>222222.0</v>
      </c>
      <c r="D451" s="3" t="s">
        <v>8</v>
      </c>
      <c r="E451" s="3" t="s">
        <v>9</v>
      </c>
      <c r="F451" s="3" t="s">
        <v>10</v>
      </c>
    </row>
    <row r="452">
      <c r="A452" s="5" t="str">
        <f>IFERROR(__xludf.DUMMYFUNCTION("""COMPUTED_VALUE"""),"DBP02000450")</f>
        <v>DBP02000450</v>
      </c>
      <c r="B452" s="5" t="str">
        <f>IFERROR(__xludf.DUMMYFUNCTION("""COMPUTED_VALUE"""),"nahira.azzahra@gmail.com")</f>
        <v>nahira.azzahra@gmail.com</v>
      </c>
      <c r="C452" s="3">
        <v>222222.0</v>
      </c>
      <c r="D452" s="3" t="s">
        <v>8</v>
      </c>
      <c r="E452" s="3" t="s">
        <v>9</v>
      </c>
      <c r="F452" s="3" t="s">
        <v>10</v>
      </c>
    </row>
    <row r="453">
      <c r="A453" s="5" t="str">
        <f>IFERROR(__xludf.DUMMYFUNCTION("""COMPUTED_VALUE"""),"DBP02000451")</f>
        <v>DBP02000451</v>
      </c>
      <c r="B453" s="5" t="str">
        <f>IFERROR(__xludf.DUMMYFUNCTION("""COMPUTED_VALUE"""),"dianazizahlukman@gmail.com")</f>
        <v>dianazizahlukman@gmail.com</v>
      </c>
      <c r="C453" s="3">
        <v>222222.0</v>
      </c>
      <c r="D453" s="3" t="s">
        <v>8</v>
      </c>
      <c r="E453" s="3" t="s">
        <v>9</v>
      </c>
      <c r="F453" s="3" t="s">
        <v>10</v>
      </c>
    </row>
    <row r="454">
      <c r="A454" s="5" t="str">
        <f>IFERROR(__xludf.DUMMYFUNCTION("""COMPUTED_VALUE"""),"DBP02000452")</f>
        <v>DBP02000452</v>
      </c>
      <c r="B454" s="5" t="str">
        <f>IFERROR(__xludf.DUMMYFUNCTION("""COMPUTED_VALUE"""),"oktavberlaperdana@gmail.com")</f>
        <v>oktavberlaperdana@gmail.com</v>
      </c>
      <c r="C454" s="3">
        <v>222222.0</v>
      </c>
      <c r="D454" s="3" t="s">
        <v>8</v>
      </c>
      <c r="E454" s="3" t="s">
        <v>9</v>
      </c>
      <c r="F454" s="3" t="s">
        <v>10</v>
      </c>
    </row>
    <row r="455">
      <c r="A455" s="5" t="str">
        <f>IFERROR(__xludf.DUMMYFUNCTION("""COMPUTED_VALUE"""),"DBP02000453")</f>
        <v>DBP02000453</v>
      </c>
      <c r="B455" s="5" t="str">
        <f>IFERROR(__xludf.DUMMYFUNCTION("""COMPUTED_VALUE"""),"inakoe136@gmail.com")</f>
        <v>inakoe136@gmail.com</v>
      </c>
      <c r="C455" s="3">
        <v>222222.0</v>
      </c>
      <c r="D455" s="3" t="s">
        <v>8</v>
      </c>
      <c r="E455" s="3" t="s">
        <v>9</v>
      </c>
      <c r="F455" s="3" t="s">
        <v>10</v>
      </c>
    </row>
    <row r="456">
      <c r="A456" s="5" t="str">
        <f>IFERROR(__xludf.DUMMYFUNCTION("""COMPUTED_VALUE"""),"DBP02000454")</f>
        <v>DBP02000454</v>
      </c>
      <c r="B456" s="5" t="str">
        <f>IFERROR(__xludf.DUMMYFUNCTION("""COMPUTED_VALUE"""),"bobitkowanusutomo@gmail.com")</f>
        <v>bobitkowanusutomo@gmail.com</v>
      </c>
      <c r="C456" s="3">
        <v>222222.0</v>
      </c>
      <c r="D456" s="3" t="s">
        <v>8</v>
      </c>
      <c r="E456" s="3" t="s">
        <v>9</v>
      </c>
      <c r="F456" s="3" t="s">
        <v>10</v>
      </c>
    </row>
    <row r="457">
      <c r="A457" s="5" t="str">
        <f>IFERROR(__xludf.DUMMYFUNCTION("""COMPUTED_VALUE"""),"DBP02000455")</f>
        <v>DBP02000455</v>
      </c>
      <c r="B457" s="5" t="str">
        <f>IFERROR(__xludf.DUMMYFUNCTION("""COMPUTED_VALUE"""),"estu722@gmail.com")</f>
        <v>estu722@gmail.com</v>
      </c>
      <c r="C457" s="3">
        <v>222222.0</v>
      </c>
      <c r="D457" s="3" t="s">
        <v>8</v>
      </c>
      <c r="E457" s="3" t="s">
        <v>9</v>
      </c>
      <c r="F457" s="3" t="s">
        <v>10</v>
      </c>
    </row>
    <row r="458">
      <c r="A458" s="5" t="str">
        <f>IFERROR(__xludf.DUMMYFUNCTION("""COMPUTED_VALUE"""),"DBP02000456")</f>
        <v>DBP02000456</v>
      </c>
      <c r="B458" s="5" t="str">
        <f>IFERROR(__xludf.DUMMYFUNCTION("""COMPUTED_VALUE"""),"fathianabillaa@gmail.com")</f>
        <v>fathianabillaa@gmail.com</v>
      </c>
      <c r="C458" s="3">
        <v>222222.0</v>
      </c>
      <c r="D458" s="3" t="s">
        <v>8</v>
      </c>
      <c r="E458" s="3" t="s">
        <v>9</v>
      </c>
      <c r="F458" s="3" t="s">
        <v>10</v>
      </c>
    </row>
    <row r="459">
      <c r="A459" s="5" t="str">
        <f>IFERROR(__xludf.DUMMYFUNCTION("""COMPUTED_VALUE"""),"DBP02000457")</f>
        <v>DBP02000457</v>
      </c>
      <c r="B459" s="5" t="str">
        <f>IFERROR(__xludf.DUMMYFUNCTION("""COMPUTED_VALUE"""),"abasyukur6@gmail.com")</f>
        <v>abasyukur6@gmail.com</v>
      </c>
      <c r="C459" s="3">
        <v>222222.0</v>
      </c>
      <c r="D459" s="3" t="s">
        <v>8</v>
      </c>
      <c r="E459" s="3" t="s">
        <v>9</v>
      </c>
      <c r="F459" s="3" t="s">
        <v>10</v>
      </c>
    </row>
    <row r="460">
      <c r="A460" s="5" t="str">
        <f>IFERROR(__xludf.DUMMYFUNCTION("""COMPUTED_VALUE"""),"DBP02000458")</f>
        <v>DBP02000458</v>
      </c>
      <c r="B460" s="5" t="str">
        <f>IFERROR(__xludf.DUMMYFUNCTION("""COMPUTED_VALUE"""),"rafaelsianturi03@gmail.com")</f>
        <v>rafaelsianturi03@gmail.com</v>
      </c>
      <c r="C460" s="3">
        <v>222222.0</v>
      </c>
      <c r="D460" s="3" t="s">
        <v>8</v>
      </c>
      <c r="E460" s="3" t="s">
        <v>9</v>
      </c>
      <c r="F460" s="3" t="s">
        <v>10</v>
      </c>
    </row>
    <row r="461">
      <c r="A461" s="5" t="str">
        <f>IFERROR(__xludf.DUMMYFUNCTION("""COMPUTED_VALUE"""),"DBP02000459")</f>
        <v>DBP02000459</v>
      </c>
      <c r="B461" s="5" t="str">
        <f>IFERROR(__xludf.DUMMYFUNCTION("""COMPUTED_VALUE"""),"mohammadfahmiluthfi@gmail.com")</f>
        <v>mohammadfahmiluthfi@gmail.com</v>
      </c>
      <c r="C461" s="3">
        <v>222222.0</v>
      </c>
      <c r="D461" s="3" t="s">
        <v>8</v>
      </c>
      <c r="E461" s="3" t="s">
        <v>9</v>
      </c>
      <c r="F461" s="3" t="s">
        <v>10</v>
      </c>
    </row>
    <row r="462">
      <c r="A462" s="5" t="str">
        <f>IFERROR(__xludf.DUMMYFUNCTION("""COMPUTED_VALUE"""),"DBP02000460")</f>
        <v>DBP02000460</v>
      </c>
      <c r="B462" s="5" t="str">
        <f>IFERROR(__xludf.DUMMYFUNCTION("""COMPUTED_VALUE"""),"fritaareinaa@gmail.com")</f>
        <v>fritaareinaa@gmail.com</v>
      </c>
      <c r="C462" s="3">
        <v>222222.0</v>
      </c>
      <c r="D462" s="3" t="s">
        <v>8</v>
      </c>
      <c r="E462" s="3" t="s">
        <v>9</v>
      </c>
      <c r="F462" s="3" t="s">
        <v>10</v>
      </c>
    </row>
    <row r="463">
      <c r="A463" s="5" t="str">
        <f>IFERROR(__xludf.DUMMYFUNCTION("""COMPUTED_VALUE"""),"DBP02000461")</f>
        <v>DBP02000461</v>
      </c>
      <c r="B463" s="5" t="str">
        <f>IFERROR(__xludf.DUMMYFUNCTION("""COMPUTED_VALUE"""),"anas.ardiansyah80@gmail.com")</f>
        <v>anas.ardiansyah80@gmail.com</v>
      </c>
      <c r="C463" s="3">
        <v>222222.0</v>
      </c>
      <c r="D463" s="3" t="s">
        <v>8</v>
      </c>
      <c r="E463" s="3" t="s">
        <v>9</v>
      </c>
      <c r="F463" s="3" t="s">
        <v>10</v>
      </c>
    </row>
    <row r="464">
      <c r="A464" s="5" t="str">
        <f>IFERROR(__xludf.DUMMYFUNCTION("""COMPUTED_VALUE"""),"DBP02000462")</f>
        <v>DBP02000462</v>
      </c>
      <c r="B464" s="5" t="str">
        <f>IFERROR(__xludf.DUMMYFUNCTION("""COMPUTED_VALUE"""),"juthearvandana@gmail.com")</f>
        <v>juthearvandana@gmail.com</v>
      </c>
      <c r="C464" s="3">
        <v>222222.0</v>
      </c>
      <c r="D464" s="3" t="s">
        <v>8</v>
      </c>
      <c r="E464" s="3" t="s">
        <v>9</v>
      </c>
      <c r="F464" s="3" t="s">
        <v>10</v>
      </c>
    </row>
    <row r="465">
      <c r="A465" s="5" t="str">
        <f>IFERROR(__xludf.DUMMYFUNCTION("""COMPUTED_VALUE"""),"DBP02000463")</f>
        <v>DBP02000463</v>
      </c>
      <c r="B465" s="5" t="str">
        <f>IFERROR(__xludf.DUMMYFUNCTION("""COMPUTED_VALUE"""),"christoferyehuda943@gmail.com")</f>
        <v>christoferyehuda943@gmail.com</v>
      </c>
      <c r="C465" s="3">
        <v>222222.0</v>
      </c>
      <c r="D465" s="3" t="s">
        <v>8</v>
      </c>
      <c r="E465" s="3" t="s">
        <v>9</v>
      </c>
      <c r="F465" s="3" t="s">
        <v>10</v>
      </c>
    </row>
    <row r="466">
      <c r="A466" s="5" t="str">
        <f>IFERROR(__xludf.DUMMYFUNCTION("""COMPUTED_VALUE"""),"DBP02000464")</f>
        <v>DBP02000464</v>
      </c>
      <c r="B466" s="5" t="str">
        <f>IFERROR(__xludf.DUMMYFUNCTION("""COMPUTED_VALUE"""),"annisazahra.az@gmail.com")</f>
        <v>annisazahra.az@gmail.com</v>
      </c>
      <c r="C466" s="3">
        <v>222222.0</v>
      </c>
      <c r="D466" s="3" t="s">
        <v>8</v>
      </c>
      <c r="E466" s="3" t="s">
        <v>9</v>
      </c>
      <c r="F466" s="3" t="s">
        <v>10</v>
      </c>
    </row>
    <row r="467">
      <c r="A467" s="5" t="str">
        <f>IFERROR(__xludf.DUMMYFUNCTION("""COMPUTED_VALUE"""),"DBP02000465")</f>
        <v>DBP02000465</v>
      </c>
      <c r="B467" s="5" t="str">
        <f>IFERROR(__xludf.DUMMYFUNCTION("""COMPUTED_VALUE"""),"pramuditadp00@gmail.com")</f>
        <v>pramuditadp00@gmail.com</v>
      </c>
      <c r="C467" s="3">
        <v>222222.0</v>
      </c>
      <c r="D467" s="3" t="s">
        <v>8</v>
      </c>
      <c r="E467" s="3" t="s">
        <v>9</v>
      </c>
      <c r="F467" s="3" t="s">
        <v>10</v>
      </c>
    </row>
    <row r="468">
      <c r="A468" s="5" t="str">
        <f>IFERROR(__xludf.DUMMYFUNCTION("""COMPUTED_VALUE"""),"DBP02000466")</f>
        <v>DBP02000466</v>
      </c>
      <c r="B468" s="5" t="str">
        <f>IFERROR(__xludf.DUMMYFUNCTION("""COMPUTED_VALUE"""),"rahadianraflizulkarnain@gmail.com")</f>
        <v>rahadianraflizulkarnain@gmail.com</v>
      </c>
      <c r="C468" s="3">
        <v>222222.0</v>
      </c>
      <c r="D468" s="3" t="s">
        <v>8</v>
      </c>
      <c r="E468" s="3" t="s">
        <v>9</v>
      </c>
      <c r="F468" s="3" t="s">
        <v>10</v>
      </c>
    </row>
    <row r="469">
      <c r="A469" s="5" t="str">
        <f>IFERROR(__xludf.DUMMYFUNCTION("""COMPUTED_VALUE"""),"DBP02000467")</f>
        <v>DBP02000467</v>
      </c>
      <c r="B469" s="5" t="str">
        <f>IFERROR(__xludf.DUMMYFUNCTION("""COMPUTED_VALUE"""),"muhammadrafinuriman@student.uns.ac.id")</f>
        <v>muhammadrafinuriman@student.uns.ac.id</v>
      </c>
      <c r="C469" s="3">
        <v>222222.0</v>
      </c>
      <c r="D469" s="3" t="s">
        <v>8</v>
      </c>
      <c r="E469" s="3" t="s">
        <v>9</v>
      </c>
      <c r="F469" s="3" t="s">
        <v>10</v>
      </c>
    </row>
    <row r="470">
      <c r="A470" s="5" t="str">
        <f>IFERROR(__xludf.DUMMYFUNCTION("""COMPUTED_VALUE"""),"DBP02000468")</f>
        <v>DBP02000468</v>
      </c>
      <c r="B470" s="5" t="str">
        <f>IFERROR(__xludf.DUMMYFUNCTION("""COMPUTED_VALUE"""),"rifqiarcan@gmail.com")</f>
        <v>rifqiarcan@gmail.com</v>
      </c>
      <c r="C470" s="3">
        <v>222222.0</v>
      </c>
      <c r="D470" s="3" t="s">
        <v>8</v>
      </c>
      <c r="E470" s="3" t="s">
        <v>9</v>
      </c>
      <c r="F470" s="3" t="s">
        <v>10</v>
      </c>
    </row>
    <row r="471">
      <c r="A471" s="5" t="str">
        <f>IFERROR(__xludf.DUMMYFUNCTION("""COMPUTED_VALUE"""),"DBP02000469")</f>
        <v>DBP02000469</v>
      </c>
      <c r="B471" s="5" t="str">
        <f>IFERROR(__xludf.DUMMYFUNCTION("""COMPUTED_VALUE"""),"marsakhansa72@gmail.com")</f>
        <v>marsakhansa72@gmail.com</v>
      </c>
      <c r="C471" s="3">
        <v>222222.0</v>
      </c>
      <c r="D471" s="3" t="s">
        <v>8</v>
      </c>
      <c r="E471" s="3" t="s">
        <v>9</v>
      </c>
      <c r="F471" s="3" t="s">
        <v>10</v>
      </c>
    </row>
    <row r="472">
      <c r="A472" s="5" t="str">
        <f>IFERROR(__xludf.DUMMYFUNCTION("""COMPUTED_VALUE"""),"DBP02000470")</f>
        <v>DBP02000470</v>
      </c>
      <c r="B472" s="5" t="str">
        <f>IFERROR(__xludf.DUMMYFUNCTION("""COMPUTED_VALUE"""),"taffanyrabbany@gmail.com")</f>
        <v>taffanyrabbany@gmail.com</v>
      </c>
      <c r="C472" s="3">
        <v>222222.0</v>
      </c>
      <c r="D472" s="3" t="s">
        <v>8</v>
      </c>
      <c r="E472" s="3" t="s">
        <v>9</v>
      </c>
      <c r="F472" s="3" t="s">
        <v>10</v>
      </c>
    </row>
    <row r="473">
      <c r="A473" s="5" t="str">
        <f>IFERROR(__xludf.DUMMYFUNCTION("""COMPUTED_VALUE"""),"DBP02000471")</f>
        <v>DBP02000471</v>
      </c>
      <c r="B473" s="5" t="str">
        <f>IFERROR(__xludf.DUMMYFUNCTION("""COMPUTED_VALUE"""),"nidaul165@gmail.com")</f>
        <v>nidaul165@gmail.com</v>
      </c>
      <c r="C473" s="3">
        <v>222222.0</v>
      </c>
      <c r="D473" s="3" t="s">
        <v>8</v>
      </c>
      <c r="E473" s="3" t="s">
        <v>9</v>
      </c>
      <c r="F473" s="3" t="s">
        <v>10</v>
      </c>
    </row>
    <row r="474">
      <c r="A474" s="5" t="str">
        <f>IFERROR(__xludf.DUMMYFUNCTION("""COMPUTED_VALUE"""),"DBP02000472")</f>
        <v>DBP02000472</v>
      </c>
      <c r="B474" s="5" t="str">
        <f>IFERROR(__xludf.DUMMYFUNCTION("""COMPUTED_VALUE"""),"ilham.rosidi@upi.edu")</f>
        <v>ilham.rosidi@upi.edu</v>
      </c>
      <c r="C474" s="3">
        <v>222222.0</v>
      </c>
      <c r="D474" s="3" t="s">
        <v>8</v>
      </c>
      <c r="E474" s="3" t="s">
        <v>9</v>
      </c>
      <c r="F474" s="3" t="s">
        <v>10</v>
      </c>
    </row>
    <row r="475">
      <c r="A475" s="5" t="str">
        <f>IFERROR(__xludf.DUMMYFUNCTION("""COMPUTED_VALUE"""),"DBP02000473")</f>
        <v>DBP02000473</v>
      </c>
      <c r="B475" s="5" t="str">
        <f>IFERROR(__xludf.DUMMYFUNCTION("""COMPUTED_VALUE"""),"eddiwibowo6@gmail.com")</f>
        <v>eddiwibowo6@gmail.com</v>
      </c>
      <c r="C475" s="3">
        <v>222222.0</v>
      </c>
      <c r="D475" s="3" t="s">
        <v>8</v>
      </c>
      <c r="E475" s="3" t="s">
        <v>9</v>
      </c>
      <c r="F475" s="3" t="s">
        <v>10</v>
      </c>
    </row>
    <row r="476">
      <c r="A476" s="5" t="str">
        <f>IFERROR(__xludf.DUMMYFUNCTION("""COMPUTED_VALUE"""),"DBP02000474")</f>
        <v>DBP02000474</v>
      </c>
      <c r="B476" s="5" t="str">
        <f>IFERROR(__xludf.DUMMYFUNCTION("""COMPUTED_VALUE"""),"ikmalyasin77@gmail.com")</f>
        <v>ikmalyasin77@gmail.com</v>
      </c>
      <c r="C476" s="3">
        <v>222222.0</v>
      </c>
      <c r="D476" s="3" t="s">
        <v>8</v>
      </c>
      <c r="E476" s="3" t="s">
        <v>9</v>
      </c>
      <c r="F476" s="3" t="s">
        <v>10</v>
      </c>
    </row>
    <row r="477">
      <c r="A477" s="5" t="str">
        <f>IFERROR(__xludf.DUMMYFUNCTION("""COMPUTED_VALUE"""),"DBP02000475")</f>
        <v>DBP02000475</v>
      </c>
      <c r="B477" s="5" t="str">
        <f>IFERROR(__xludf.DUMMYFUNCTION("""COMPUTED_VALUE"""),"wilson.chandra20@gmail.com")</f>
        <v>wilson.chandra20@gmail.com</v>
      </c>
      <c r="C477" s="3">
        <v>222222.0</v>
      </c>
      <c r="D477" s="3" t="s">
        <v>8</v>
      </c>
      <c r="E477" s="3" t="s">
        <v>9</v>
      </c>
      <c r="F477" s="3" t="s">
        <v>10</v>
      </c>
    </row>
    <row r="478">
      <c r="A478" s="5" t="str">
        <f>IFERROR(__xludf.DUMMYFUNCTION("""COMPUTED_VALUE"""),"DBP02000476")</f>
        <v>DBP02000476</v>
      </c>
      <c r="B478" s="5" t="str">
        <f>IFERROR(__xludf.DUMMYFUNCTION("""COMPUTED_VALUE"""),"sylvanaannisa@gmail.com")</f>
        <v>sylvanaannisa@gmail.com</v>
      </c>
      <c r="C478" s="3">
        <v>222222.0</v>
      </c>
      <c r="D478" s="3" t="s">
        <v>8</v>
      </c>
      <c r="E478" s="3" t="s">
        <v>9</v>
      </c>
      <c r="F478" s="3" t="s">
        <v>10</v>
      </c>
    </row>
    <row r="479">
      <c r="A479" s="5" t="str">
        <f>IFERROR(__xludf.DUMMYFUNCTION("""COMPUTED_VALUE"""),"DBP02000477")</f>
        <v>DBP02000477</v>
      </c>
      <c r="B479" s="5" t="str">
        <f>IFERROR(__xludf.DUMMYFUNCTION("""COMPUTED_VALUE"""),"muhammaddaffaputra45@gmail.com")</f>
        <v>muhammaddaffaputra45@gmail.com</v>
      </c>
      <c r="C479" s="3">
        <v>222222.0</v>
      </c>
      <c r="D479" s="3" t="s">
        <v>8</v>
      </c>
      <c r="E479" s="3" t="s">
        <v>9</v>
      </c>
      <c r="F479" s="3" t="s">
        <v>10</v>
      </c>
    </row>
    <row r="480">
      <c r="A480" s="5" t="str">
        <f>IFERROR(__xludf.DUMMYFUNCTION("""COMPUTED_VALUE"""),"DBP02000478")</f>
        <v>DBP02000478</v>
      </c>
      <c r="B480" s="5" t="str">
        <f>IFERROR(__xludf.DUMMYFUNCTION("""COMPUTED_VALUE"""),"alyaramadhani44@gmail.com")</f>
        <v>alyaramadhani44@gmail.com</v>
      </c>
      <c r="C480" s="3">
        <v>222222.0</v>
      </c>
      <c r="D480" s="3" t="s">
        <v>8</v>
      </c>
      <c r="E480" s="3" t="s">
        <v>9</v>
      </c>
      <c r="F480" s="3" t="s">
        <v>10</v>
      </c>
    </row>
    <row r="481">
      <c r="A481" s="5" t="str">
        <f>IFERROR(__xludf.DUMMYFUNCTION("""COMPUTED_VALUE"""),"DBP02000479")</f>
        <v>DBP02000479</v>
      </c>
      <c r="B481" s="5" t="str">
        <f>IFERROR(__xludf.DUMMYFUNCTION("""COMPUTED_VALUE"""),"videogathan@gmail.com")</f>
        <v>videogathan@gmail.com</v>
      </c>
      <c r="C481" s="3">
        <v>222222.0</v>
      </c>
      <c r="D481" s="3" t="s">
        <v>8</v>
      </c>
      <c r="E481" s="3" t="s">
        <v>9</v>
      </c>
      <c r="F481" s="3" t="s">
        <v>10</v>
      </c>
    </row>
    <row r="482">
      <c r="A482" s="5" t="str">
        <f>IFERROR(__xludf.DUMMYFUNCTION("""COMPUTED_VALUE"""),"DBP02000480")</f>
        <v>DBP02000480</v>
      </c>
      <c r="B482" s="5" t="str">
        <f>IFERROR(__xludf.DUMMYFUNCTION("""COMPUTED_VALUE"""),"fatikahizza@student.ub.ac.id")</f>
        <v>fatikahizza@student.ub.ac.id</v>
      </c>
      <c r="C482" s="3">
        <v>222222.0</v>
      </c>
      <c r="D482" s="3" t="s">
        <v>8</v>
      </c>
      <c r="E482" s="3" t="s">
        <v>9</v>
      </c>
      <c r="F482" s="3" t="s">
        <v>10</v>
      </c>
    </row>
    <row r="483">
      <c r="A483" s="5" t="str">
        <f>IFERROR(__xludf.DUMMYFUNCTION("""COMPUTED_VALUE"""),"DBP02000481")</f>
        <v>DBP02000481</v>
      </c>
      <c r="B483" s="5" t="str">
        <f>IFERROR(__xludf.DUMMYFUNCTION("""COMPUTED_VALUE"""),"rafiqmuzakkisains30@gmail.com")</f>
        <v>rafiqmuzakkisains30@gmail.com</v>
      </c>
      <c r="C483" s="3">
        <v>222222.0</v>
      </c>
      <c r="D483" s="3" t="s">
        <v>8</v>
      </c>
      <c r="E483" s="3" t="s">
        <v>9</v>
      </c>
      <c r="F483" s="3" t="s">
        <v>10</v>
      </c>
    </row>
    <row r="484">
      <c r="A484" s="5" t="str">
        <f>IFERROR(__xludf.DUMMYFUNCTION("""COMPUTED_VALUE"""),"DBP02000482")</f>
        <v>DBP02000482</v>
      </c>
      <c r="B484" s="5" t="str">
        <f>IFERROR(__xludf.DUMMYFUNCTION("""COMPUTED_VALUE"""),"aure180202@gmail.com")</f>
        <v>aure180202@gmail.com</v>
      </c>
      <c r="C484" s="3">
        <v>222222.0</v>
      </c>
      <c r="D484" s="3" t="s">
        <v>8</v>
      </c>
      <c r="E484" s="3" t="s">
        <v>9</v>
      </c>
      <c r="F484" s="3" t="s">
        <v>10</v>
      </c>
    </row>
    <row r="485">
      <c r="A485" s="5" t="str">
        <f>IFERROR(__xludf.DUMMYFUNCTION("""COMPUTED_VALUE"""),"DBP02000483")</f>
        <v>DBP02000483</v>
      </c>
      <c r="B485" s="5" t="str">
        <f>IFERROR(__xludf.DUMMYFUNCTION("""COMPUTED_VALUE"""),"budiariyanto.id@gmail.com")</f>
        <v>budiariyanto.id@gmail.com</v>
      </c>
      <c r="C485" s="3">
        <v>222222.0</v>
      </c>
      <c r="D485" s="3" t="s">
        <v>8</v>
      </c>
      <c r="E485" s="3" t="s">
        <v>9</v>
      </c>
      <c r="F485" s="3" t="s">
        <v>10</v>
      </c>
    </row>
    <row r="486">
      <c r="A486" s="5" t="str">
        <f>IFERROR(__xludf.DUMMYFUNCTION("""COMPUTED_VALUE"""),"DBP02000484")</f>
        <v>DBP02000484</v>
      </c>
      <c r="B486" s="5" t="str">
        <f>IFERROR(__xludf.DUMMYFUNCTION("""COMPUTED_VALUE"""),"rizky.ubayd@gmail.com")</f>
        <v>rizky.ubayd@gmail.com</v>
      </c>
      <c r="C486" s="3">
        <v>222222.0</v>
      </c>
      <c r="D486" s="3" t="s">
        <v>8</v>
      </c>
      <c r="E486" s="3" t="s">
        <v>9</v>
      </c>
      <c r="F486" s="3" t="s">
        <v>10</v>
      </c>
    </row>
    <row r="487">
      <c r="A487" s="5" t="str">
        <f>IFERROR(__xludf.DUMMYFUNCTION("""COMPUTED_VALUE"""),"DBP02000485")</f>
        <v>DBP02000485</v>
      </c>
      <c r="B487" s="5" t="str">
        <f>IFERROR(__xludf.DUMMYFUNCTION("""COMPUTED_VALUE"""),"mrajibabdulghani@gmail.com")</f>
        <v>mrajibabdulghani@gmail.com</v>
      </c>
      <c r="C487" s="3">
        <v>222222.0</v>
      </c>
      <c r="D487" s="3" t="s">
        <v>8</v>
      </c>
      <c r="E487" s="3" t="s">
        <v>9</v>
      </c>
      <c r="F487" s="3" t="s">
        <v>10</v>
      </c>
    </row>
    <row r="488">
      <c r="A488" s="5" t="str">
        <f>IFERROR(__xludf.DUMMYFUNCTION("""COMPUTED_VALUE"""),"DBP02000486")</f>
        <v>DBP02000486</v>
      </c>
      <c r="B488" s="5" t="str">
        <f>IFERROR(__xludf.DUMMYFUNCTION("""COMPUTED_VALUE"""),"monicagitauli19@gmail.com")</f>
        <v>monicagitauli19@gmail.com</v>
      </c>
      <c r="C488" s="3">
        <v>222222.0</v>
      </c>
      <c r="D488" s="3" t="s">
        <v>8</v>
      </c>
      <c r="E488" s="3" t="s">
        <v>9</v>
      </c>
      <c r="F488" s="3" t="s">
        <v>10</v>
      </c>
    </row>
    <row r="489">
      <c r="A489" s="5" t="str">
        <f>IFERROR(__xludf.DUMMYFUNCTION("""COMPUTED_VALUE"""),"DBP02000487")</f>
        <v>DBP02000487</v>
      </c>
      <c r="B489" s="5" t="str">
        <f>IFERROR(__xludf.DUMMYFUNCTION("""COMPUTED_VALUE"""),"raazizah08@gmail.com")</f>
        <v>raazizah08@gmail.com</v>
      </c>
      <c r="C489" s="3">
        <v>222222.0</v>
      </c>
      <c r="D489" s="3" t="s">
        <v>8</v>
      </c>
      <c r="E489" s="3" t="s">
        <v>9</v>
      </c>
      <c r="F489" s="3" t="s">
        <v>10</v>
      </c>
    </row>
    <row r="490">
      <c r="A490" s="5" t="str">
        <f>IFERROR(__xludf.DUMMYFUNCTION("""COMPUTED_VALUE"""),"DBP02000488")</f>
        <v>DBP02000488</v>
      </c>
      <c r="B490" s="5" t="str">
        <f>IFERROR(__xludf.DUMMYFUNCTION("""COMPUTED_VALUE"""),"maryannekaren123@gmail.com")</f>
        <v>maryannekaren123@gmail.com</v>
      </c>
      <c r="C490" s="3">
        <v>222222.0</v>
      </c>
      <c r="D490" s="3" t="s">
        <v>8</v>
      </c>
      <c r="E490" s="3" t="s">
        <v>9</v>
      </c>
      <c r="F490" s="3" t="s">
        <v>10</v>
      </c>
    </row>
    <row r="491">
      <c r="A491" s="5" t="str">
        <f>IFERROR(__xludf.DUMMYFUNCTION("""COMPUTED_VALUE"""),"DBP02000489")</f>
        <v>DBP02000489</v>
      </c>
      <c r="B491" s="5" t="str">
        <f>IFERROR(__xludf.DUMMYFUNCTION("""COMPUTED_VALUE"""),"anitanoviyani21016@gmail.com")</f>
        <v>anitanoviyani21016@gmail.com</v>
      </c>
      <c r="C491" s="3">
        <v>222222.0</v>
      </c>
      <c r="D491" s="3" t="s">
        <v>8</v>
      </c>
      <c r="E491" s="3" t="s">
        <v>9</v>
      </c>
      <c r="F491" s="3" t="s">
        <v>10</v>
      </c>
    </row>
    <row r="492">
      <c r="A492" s="5" t="str">
        <f>IFERROR(__xludf.DUMMYFUNCTION("""COMPUTED_VALUE"""),"DBP02000490")</f>
        <v>DBP02000490</v>
      </c>
      <c r="B492" s="5" t="str">
        <f>IFERROR(__xludf.DUMMYFUNCTION("""COMPUTED_VALUE"""),"indriayuchan@gmail.com")</f>
        <v>indriayuchan@gmail.com</v>
      </c>
      <c r="C492" s="3">
        <v>222222.0</v>
      </c>
      <c r="D492" s="3" t="s">
        <v>8</v>
      </c>
      <c r="E492" s="3" t="s">
        <v>9</v>
      </c>
      <c r="F492" s="3" t="s">
        <v>10</v>
      </c>
    </row>
    <row r="493">
      <c r="A493" s="5" t="str">
        <f>IFERROR(__xludf.DUMMYFUNCTION("""COMPUTED_VALUE"""),"DBP02000491")</f>
        <v>DBP02000491</v>
      </c>
      <c r="B493" s="5" t="str">
        <f>IFERROR(__xludf.DUMMYFUNCTION("""COMPUTED_VALUE"""),"sahranist415@gmail.com")</f>
        <v>sahranist415@gmail.com</v>
      </c>
      <c r="C493" s="3">
        <v>222222.0</v>
      </c>
      <c r="D493" s="3" t="s">
        <v>8</v>
      </c>
      <c r="E493" s="3" t="s">
        <v>9</v>
      </c>
      <c r="F493" s="3" t="s">
        <v>10</v>
      </c>
    </row>
    <row r="494">
      <c r="A494" s="5" t="str">
        <f>IFERROR(__xludf.DUMMYFUNCTION("""COMPUTED_VALUE"""),"DBP02000492")</f>
        <v>DBP02000492</v>
      </c>
      <c r="B494" s="5" t="str">
        <f>IFERROR(__xludf.DUMMYFUNCTION("""COMPUTED_VALUE"""),"nicholas.hansen03@gmail.com")</f>
        <v>nicholas.hansen03@gmail.com</v>
      </c>
      <c r="C494" s="3">
        <v>222222.0</v>
      </c>
      <c r="D494" s="3" t="s">
        <v>8</v>
      </c>
      <c r="E494" s="3" t="s">
        <v>9</v>
      </c>
      <c r="F494" s="3" t="s">
        <v>10</v>
      </c>
    </row>
    <row r="495">
      <c r="A495" s="5" t="str">
        <f>IFERROR(__xludf.DUMMYFUNCTION("""COMPUTED_VALUE"""),"DBP02000493")</f>
        <v>DBP02000493</v>
      </c>
      <c r="B495" s="5" t="str">
        <f>IFERROR(__xludf.DUMMYFUNCTION("""COMPUTED_VALUE"""),"maharaniadelinev@gmail.com")</f>
        <v>maharaniadelinev@gmail.com</v>
      </c>
      <c r="C495" s="3">
        <v>222222.0</v>
      </c>
      <c r="D495" s="3" t="s">
        <v>8</v>
      </c>
      <c r="E495" s="3" t="s">
        <v>9</v>
      </c>
      <c r="F495" s="3" t="s">
        <v>10</v>
      </c>
    </row>
    <row r="496">
      <c r="A496" s="5" t="str">
        <f>IFERROR(__xludf.DUMMYFUNCTION("""COMPUTED_VALUE"""),"DBP02000494")</f>
        <v>DBP02000494</v>
      </c>
      <c r="B496" s="5" t="str">
        <f>IFERROR(__xludf.DUMMYFUNCTION("""COMPUTED_VALUE"""),"nilamsukma01@gmail.com")</f>
        <v>nilamsukma01@gmail.com</v>
      </c>
      <c r="C496" s="3">
        <v>222222.0</v>
      </c>
      <c r="D496" s="3" t="s">
        <v>8</v>
      </c>
      <c r="E496" s="3" t="s">
        <v>9</v>
      </c>
      <c r="F496" s="3" t="s">
        <v>10</v>
      </c>
    </row>
    <row r="497">
      <c r="A497" s="5" t="str">
        <f>IFERROR(__xludf.DUMMYFUNCTION("""COMPUTED_VALUE"""),"DBP02000495")</f>
        <v>DBP02000495</v>
      </c>
      <c r="B497" s="5" t="str">
        <f>IFERROR(__xludf.DUMMYFUNCTION("""COMPUTED_VALUE"""),"drafsanzani@gmail.com")</f>
        <v>drafsanzani@gmail.com</v>
      </c>
      <c r="C497" s="3">
        <v>222222.0</v>
      </c>
      <c r="D497" s="3" t="s">
        <v>8</v>
      </c>
      <c r="E497" s="3" t="s">
        <v>9</v>
      </c>
      <c r="F497" s="3" t="s">
        <v>10</v>
      </c>
    </row>
    <row r="498">
      <c r="A498" s="5" t="str">
        <f>IFERROR(__xludf.DUMMYFUNCTION("""COMPUTED_VALUE"""),"DBP02000496")</f>
        <v>DBP02000496</v>
      </c>
      <c r="B498" s="5" t="str">
        <f>IFERROR(__xludf.DUMMYFUNCTION("""COMPUTED_VALUE"""),"vcl3636@gmail.com")</f>
        <v>vcl3636@gmail.com</v>
      </c>
      <c r="C498" s="3">
        <v>222222.0</v>
      </c>
      <c r="D498" s="3" t="s">
        <v>8</v>
      </c>
      <c r="E498" s="3" t="s">
        <v>9</v>
      </c>
      <c r="F498" s="3" t="s">
        <v>10</v>
      </c>
    </row>
    <row r="499">
      <c r="A499" s="5" t="str">
        <f>IFERROR(__xludf.DUMMYFUNCTION("""COMPUTED_VALUE"""),"DBP02000497")</f>
        <v>DBP02000497</v>
      </c>
      <c r="B499" s="5" t="str">
        <f>IFERROR(__xludf.DUMMYFUNCTION("""COMPUTED_VALUE"""),"sherlyangelica6@gmail.com")</f>
        <v>sherlyangelica6@gmail.com</v>
      </c>
      <c r="C499" s="3">
        <v>222222.0</v>
      </c>
      <c r="D499" s="3" t="s">
        <v>8</v>
      </c>
      <c r="E499" s="3" t="s">
        <v>9</v>
      </c>
      <c r="F499" s="3" t="s">
        <v>10</v>
      </c>
    </row>
    <row r="500">
      <c r="A500" s="5" t="str">
        <f>IFERROR(__xludf.DUMMYFUNCTION("""COMPUTED_VALUE"""),"DBP02000498")</f>
        <v>DBP02000498</v>
      </c>
      <c r="B500" s="5" t="str">
        <f>IFERROR(__xludf.DUMMYFUNCTION("""COMPUTED_VALUE"""),"cacadian0704@gmail.com")</f>
        <v>cacadian0704@gmail.com</v>
      </c>
      <c r="C500" s="3">
        <v>222222.0</v>
      </c>
      <c r="D500" s="3" t="s">
        <v>8</v>
      </c>
      <c r="E500" s="3" t="s">
        <v>9</v>
      </c>
      <c r="F500" s="3" t="s">
        <v>10</v>
      </c>
    </row>
    <row r="501">
      <c r="A501" s="5" t="str">
        <f>IFERROR(__xludf.DUMMYFUNCTION("""COMPUTED_VALUE"""),"DBP02000499")</f>
        <v>DBP02000499</v>
      </c>
      <c r="B501" s="5" t="str">
        <f>IFERROR(__xludf.DUMMYFUNCTION("""COMPUTED_VALUE"""),"alfarisbachmid@gmail.com")</f>
        <v>alfarisbachmid@gmail.com</v>
      </c>
      <c r="C501" s="3">
        <v>222222.0</v>
      </c>
      <c r="D501" s="3" t="s">
        <v>8</v>
      </c>
      <c r="E501" s="3" t="s">
        <v>9</v>
      </c>
      <c r="F501" s="3" t="s">
        <v>10</v>
      </c>
    </row>
    <row r="502">
      <c r="A502" s="5" t="str">
        <f>IFERROR(__xludf.DUMMYFUNCTION("""COMPUTED_VALUE"""),"DBP02000500")</f>
        <v>DBP02000500</v>
      </c>
      <c r="B502" s="5" t="str">
        <f>IFERROR(__xludf.DUMMYFUNCTION("""COMPUTED_VALUE"""),"aghnia.fasza@gmail.com")</f>
        <v>aghnia.fasza@gmail.com</v>
      </c>
      <c r="C502" s="3">
        <v>222222.0</v>
      </c>
      <c r="D502" s="3" t="s">
        <v>8</v>
      </c>
      <c r="E502" s="3" t="s">
        <v>9</v>
      </c>
      <c r="F502" s="3" t="s">
        <v>10</v>
      </c>
    </row>
    <row r="503">
      <c r="A503" s="5" t="str">
        <f>IFERROR(__xludf.DUMMYFUNCTION("""COMPUTED_VALUE"""),"DBP02000501")</f>
        <v>DBP02000501</v>
      </c>
      <c r="B503" s="5" t="str">
        <f>IFERROR(__xludf.DUMMYFUNCTION("""COMPUTED_VALUE"""),"alvianfirdaus896@gmail.com")</f>
        <v>alvianfirdaus896@gmail.com</v>
      </c>
      <c r="C503" s="3">
        <v>222222.0</v>
      </c>
      <c r="D503" s="3" t="s">
        <v>8</v>
      </c>
      <c r="E503" s="3" t="s">
        <v>9</v>
      </c>
      <c r="F503" s="3" t="s">
        <v>10</v>
      </c>
    </row>
    <row r="504">
      <c r="A504" s="5" t="str">
        <f>IFERROR(__xludf.DUMMYFUNCTION("""COMPUTED_VALUE"""),"DBP02000502")</f>
        <v>DBP02000502</v>
      </c>
      <c r="B504" s="5" t="str">
        <f>IFERROR(__xludf.DUMMYFUNCTION("""COMPUTED_VALUE"""),"andriochriswaldi@gmail.com")</f>
        <v>andriochriswaldi@gmail.com</v>
      </c>
      <c r="C504" s="3">
        <v>222222.0</v>
      </c>
      <c r="D504" s="3" t="s">
        <v>8</v>
      </c>
      <c r="E504" s="3" t="s">
        <v>9</v>
      </c>
      <c r="F504" s="3" t="s">
        <v>10</v>
      </c>
    </row>
    <row r="505">
      <c r="A505" s="5" t="str">
        <f>IFERROR(__xludf.DUMMYFUNCTION("""COMPUTED_VALUE"""),"DBP02000503")</f>
        <v>DBP02000503</v>
      </c>
      <c r="B505" s="5" t="str">
        <f>IFERROR(__xludf.DUMMYFUNCTION("""COMPUTED_VALUE"""),"marisasafitri98@gmail.com")</f>
        <v>marisasafitri98@gmail.com</v>
      </c>
      <c r="C505" s="3">
        <v>222222.0</v>
      </c>
      <c r="D505" s="3" t="s">
        <v>8</v>
      </c>
      <c r="E505" s="3" t="s">
        <v>9</v>
      </c>
      <c r="F505" s="3" t="s">
        <v>10</v>
      </c>
    </row>
    <row r="506">
      <c r="A506" s="5" t="str">
        <f>IFERROR(__xludf.DUMMYFUNCTION("""COMPUTED_VALUE"""),"DBP02000504")</f>
        <v>DBP02000504</v>
      </c>
      <c r="B506" s="5" t="str">
        <f>IFERROR(__xludf.DUMMYFUNCTION("""COMPUTED_VALUE"""),"carissalovani.cl@gmail.com")</f>
        <v>carissalovani.cl@gmail.com</v>
      </c>
      <c r="C506" s="3">
        <v>222222.0</v>
      </c>
      <c r="D506" s="3" t="s">
        <v>8</v>
      </c>
      <c r="E506" s="3" t="s">
        <v>9</v>
      </c>
      <c r="F506" s="3" t="s">
        <v>10</v>
      </c>
    </row>
    <row r="507">
      <c r="A507" s="5" t="str">
        <f>IFERROR(__xludf.DUMMYFUNCTION("""COMPUTED_VALUE"""),"DBP02000505")</f>
        <v>DBP02000505</v>
      </c>
      <c r="B507" s="5" t="str">
        <f>IFERROR(__xludf.DUMMYFUNCTION("""COMPUTED_VALUE"""),"nurullitasekar59@gmail.com")</f>
        <v>nurullitasekar59@gmail.com</v>
      </c>
      <c r="C507" s="3">
        <v>222222.0</v>
      </c>
      <c r="D507" s="3" t="s">
        <v>8</v>
      </c>
      <c r="E507" s="3" t="s">
        <v>9</v>
      </c>
      <c r="F507" s="3" t="s">
        <v>10</v>
      </c>
    </row>
    <row r="508">
      <c r="A508" s="5" t="str">
        <f>IFERROR(__xludf.DUMMYFUNCTION("""COMPUTED_VALUE"""),"DBP02000506")</f>
        <v>DBP02000506</v>
      </c>
      <c r="B508" s="5" t="str">
        <f>IFERROR(__xludf.DUMMYFUNCTION("""COMPUTED_VALUE"""),"endarsumarsono@gmail.com")</f>
        <v>endarsumarsono@gmail.com</v>
      </c>
      <c r="C508" s="3">
        <v>222222.0</v>
      </c>
      <c r="D508" s="3" t="s">
        <v>8</v>
      </c>
      <c r="E508" s="3" t="s">
        <v>9</v>
      </c>
      <c r="F508" s="3" t="s">
        <v>10</v>
      </c>
    </row>
    <row r="509">
      <c r="A509" s="5" t="str">
        <f>IFERROR(__xludf.DUMMYFUNCTION("""COMPUTED_VALUE"""),"DBP02000507")</f>
        <v>DBP02000507</v>
      </c>
      <c r="B509" s="5" t="str">
        <f>IFERROR(__xludf.DUMMYFUNCTION("""COMPUTED_VALUE"""),"galangp99@gmail.com")</f>
        <v>galangp99@gmail.com</v>
      </c>
      <c r="C509" s="3">
        <v>222222.0</v>
      </c>
      <c r="D509" s="3" t="s">
        <v>8</v>
      </c>
      <c r="E509" s="3" t="s">
        <v>9</v>
      </c>
      <c r="F509" s="3" t="s">
        <v>10</v>
      </c>
    </row>
    <row r="510">
      <c r="A510" s="5" t="str">
        <f>IFERROR(__xludf.DUMMYFUNCTION("""COMPUTED_VALUE"""),"DBP02000508")</f>
        <v>DBP02000508</v>
      </c>
      <c r="B510" s="5" t="str">
        <f>IFERROR(__xludf.DUMMYFUNCTION("""COMPUTED_VALUE"""),"syahrindraakbar09@gmail.com")</f>
        <v>syahrindraakbar09@gmail.com</v>
      </c>
      <c r="C510" s="3">
        <v>222222.0</v>
      </c>
      <c r="D510" s="3" t="s">
        <v>8</v>
      </c>
      <c r="E510" s="3" t="s">
        <v>9</v>
      </c>
      <c r="F510" s="3" t="s">
        <v>10</v>
      </c>
    </row>
    <row r="511">
      <c r="A511" s="5" t="str">
        <f>IFERROR(__xludf.DUMMYFUNCTION("""COMPUTED_VALUE"""),"DBP02000509")</f>
        <v>DBP02000509</v>
      </c>
      <c r="B511" s="5" t="str">
        <f>IFERROR(__xludf.DUMMYFUNCTION("""COMPUTED_VALUE"""),"nabillahilzaviani27@gmail.com")</f>
        <v>nabillahilzaviani27@gmail.com</v>
      </c>
      <c r="C511" s="3">
        <v>222222.0</v>
      </c>
      <c r="D511" s="3" t="s">
        <v>8</v>
      </c>
      <c r="E511" s="3" t="s">
        <v>9</v>
      </c>
      <c r="F511" s="3" t="s">
        <v>10</v>
      </c>
    </row>
    <row r="512">
      <c r="A512" s="5" t="str">
        <f>IFERROR(__xludf.DUMMYFUNCTION("""COMPUTED_VALUE"""),"DBP02000510")</f>
        <v>DBP02000510</v>
      </c>
      <c r="B512" s="5" t="str">
        <f>IFERROR(__xludf.DUMMYFUNCTION("""COMPUTED_VALUE"""),"ivonaamandatri@gmail.com")</f>
        <v>ivonaamandatri@gmail.com</v>
      </c>
      <c r="C512" s="3">
        <v>222222.0</v>
      </c>
      <c r="D512" s="3" t="s">
        <v>8</v>
      </c>
      <c r="E512" s="3" t="s">
        <v>9</v>
      </c>
      <c r="F512" s="3" t="s">
        <v>10</v>
      </c>
    </row>
    <row r="513">
      <c r="A513" s="5" t="str">
        <f>IFERROR(__xludf.DUMMYFUNCTION("""COMPUTED_VALUE"""),"DBP02000511")</f>
        <v>DBP02000511</v>
      </c>
      <c r="B513" s="5" t="str">
        <f>IFERROR(__xludf.DUMMYFUNCTION("""COMPUTED_VALUE"""),"rickyjatmiko15@gmail.com")</f>
        <v>rickyjatmiko15@gmail.com</v>
      </c>
      <c r="C513" s="3">
        <v>222222.0</v>
      </c>
      <c r="D513" s="3" t="s">
        <v>8</v>
      </c>
      <c r="E513" s="3" t="s">
        <v>9</v>
      </c>
      <c r="F513" s="3" t="s">
        <v>10</v>
      </c>
    </row>
    <row r="514">
      <c r="A514" s="5" t="str">
        <f>IFERROR(__xludf.DUMMYFUNCTION("""COMPUTED_VALUE"""),"DBP02000512")</f>
        <v>DBP02000512</v>
      </c>
      <c r="B514" s="5" t="str">
        <f>IFERROR(__xludf.DUMMYFUNCTION("""COMPUTED_VALUE"""),"krisnadwipayanahamara@gmail.com")</f>
        <v>krisnadwipayanahamara@gmail.com</v>
      </c>
      <c r="C514" s="3">
        <v>222222.0</v>
      </c>
      <c r="D514" s="3" t="s">
        <v>8</v>
      </c>
      <c r="E514" s="3" t="s">
        <v>9</v>
      </c>
      <c r="F514" s="3" t="s">
        <v>10</v>
      </c>
    </row>
    <row r="515">
      <c r="A515" s="5" t="str">
        <f>IFERROR(__xludf.DUMMYFUNCTION("""COMPUTED_VALUE"""),"DBP02000513")</f>
        <v>DBP02000513</v>
      </c>
      <c r="B515" s="5" t="str">
        <f>IFERROR(__xludf.DUMMYFUNCTION("""COMPUTED_VALUE"""),"andreabryant07@gmail.com")</f>
        <v>andreabryant07@gmail.com</v>
      </c>
      <c r="C515" s="3">
        <v>222222.0</v>
      </c>
      <c r="D515" s="3" t="s">
        <v>8</v>
      </c>
      <c r="E515" s="3" t="s">
        <v>9</v>
      </c>
      <c r="F515" s="3" t="s">
        <v>10</v>
      </c>
    </row>
    <row r="516">
      <c r="A516" s="5" t="str">
        <f>IFERROR(__xludf.DUMMYFUNCTION("""COMPUTED_VALUE"""),"DBP02000514")</f>
        <v>DBP02000514</v>
      </c>
      <c r="B516" s="5" t="str">
        <f>IFERROR(__xludf.DUMMYFUNCTION("""COMPUTED_VALUE"""),"rahmatakhirul223@gmail.com")</f>
        <v>rahmatakhirul223@gmail.com</v>
      </c>
      <c r="C516" s="3">
        <v>222222.0</v>
      </c>
      <c r="D516" s="3" t="s">
        <v>8</v>
      </c>
      <c r="E516" s="3" t="s">
        <v>9</v>
      </c>
      <c r="F516" s="3" t="s">
        <v>10</v>
      </c>
    </row>
    <row r="517">
      <c r="A517" s="5" t="str">
        <f>IFERROR(__xludf.DUMMYFUNCTION("""COMPUTED_VALUE"""),"DBP02000515")</f>
        <v>DBP02000515</v>
      </c>
      <c r="B517" s="5" t="str">
        <f>IFERROR(__xludf.DUMMYFUNCTION("""COMPUTED_VALUE"""),"jessicaa.amandaa22@gmail.com")</f>
        <v>jessicaa.amandaa22@gmail.com</v>
      </c>
      <c r="C517" s="3">
        <v>222222.0</v>
      </c>
      <c r="D517" s="3" t="s">
        <v>8</v>
      </c>
      <c r="E517" s="3" t="s">
        <v>9</v>
      </c>
      <c r="F517" s="3" t="s">
        <v>10</v>
      </c>
    </row>
    <row r="518">
      <c r="A518" s="5" t="str">
        <f>IFERROR(__xludf.DUMMYFUNCTION("""COMPUTED_VALUE"""),"DBP02000516")</f>
        <v>DBP02000516</v>
      </c>
      <c r="B518" s="5" t="str">
        <f>IFERROR(__xludf.DUMMYFUNCTION("""COMPUTED_VALUE"""),"novirohmah9@gmail.com")</f>
        <v>novirohmah9@gmail.com</v>
      </c>
      <c r="C518" s="3">
        <v>222222.0</v>
      </c>
      <c r="D518" s="3" t="s">
        <v>8</v>
      </c>
      <c r="E518" s="3" t="s">
        <v>9</v>
      </c>
      <c r="F518" s="3" t="s">
        <v>10</v>
      </c>
    </row>
    <row r="519">
      <c r="A519" s="5" t="str">
        <f>IFERROR(__xludf.DUMMYFUNCTION("""COMPUTED_VALUE"""),"DBP02000517")</f>
        <v>DBP02000517</v>
      </c>
      <c r="B519" s="5" t="str">
        <f>IFERROR(__xludf.DUMMYFUNCTION("""COMPUTED_VALUE"""),"azrieldaffa1@gmail.com")</f>
        <v>azrieldaffa1@gmail.com</v>
      </c>
      <c r="C519" s="3">
        <v>222222.0</v>
      </c>
      <c r="D519" s="3" t="s">
        <v>8</v>
      </c>
      <c r="E519" s="3" t="s">
        <v>9</v>
      </c>
      <c r="F519" s="3" t="s">
        <v>10</v>
      </c>
    </row>
    <row r="520">
      <c r="A520" s="5" t="str">
        <f>IFERROR(__xludf.DUMMYFUNCTION("""COMPUTED_VALUE"""),"DBP02000518")</f>
        <v>DBP02000518</v>
      </c>
      <c r="B520" s="5" t="str">
        <f>IFERROR(__xludf.DUMMYFUNCTION("""COMPUTED_VALUE"""),"erdodp@gmail.com")</f>
        <v>erdodp@gmail.com</v>
      </c>
      <c r="C520" s="3">
        <v>222222.0</v>
      </c>
      <c r="D520" s="3" t="s">
        <v>8</v>
      </c>
      <c r="E520" s="3" t="s">
        <v>9</v>
      </c>
      <c r="F520" s="3" t="s">
        <v>10</v>
      </c>
    </row>
    <row r="521">
      <c r="A521" s="5" t="str">
        <f>IFERROR(__xludf.DUMMYFUNCTION("""COMPUTED_VALUE"""),"DBP02000519")</f>
        <v>DBP02000519</v>
      </c>
      <c r="B521" s="5" t="str">
        <f>IFERROR(__xludf.DUMMYFUNCTION("""COMPUTED_VALUE"""),"hasnawiddaty@gmail.com")</f>
        <v>hasnawiddaty@gmail.com</v>
      </c>
      <c r="C521" s="3">
        <v>222222.0</v>
      </c>
      <c r="D521" s="3" t="s">
        <v>8</v>
      </c>
      <c r="E521" s="3" t="s">
        <v>9</v>
      </c>
      <c r="F521" s="3" t="s">
        <v>10</v>
      </c>
    </row>
    <row r="522">
      <c r="A522" s="5" t="str">
        <f>IFERROR(__xludf.DUMMYFUNCTION("""COMPUTED_VALUE"""),"DBP02000520")</f>
        <v>DBP02000520</v>
      </c>
      <c r="B522" s="5" t="str">
        <f>IFERROR(__xludf.DUMMYFUNCTION("""COMPUTED_VALUE"""),"andrianikvn16@gmail.com")</f>
        <v>andrianikvn16@gmail.com</v>
      </c>
      <c r="C522" s="3">
        <v>222222.0</v>
      </c>
      <c r="D522" s="3" t="s">
        <v>8</v>
      </c>
      <c r="E522" s="3" t="s">
        <v>9</v>
      </c>
      <c r="F522" s="3" t="s">
        <v>10</v>
      </c>
    </row>
    <row r="523">
      <c r="A523" s="5" t="str">
        <f>IFERROR(__xludf.DUMMYFUNCTION("""COMPUTED_VALUE"""),"DBP02000521")</f>
        <v>DBP02000521</v>
      </c>
      <c r="B523" s="5" t="str">
        <f>IFERROR(__xludf.DUMMYFUNCTION("""COMPUTED_VALUE"""),"fernaldyjoe@gmail.com")</f>
        <v>fernaldyjoe@gmail.com</v>
      </c>
      <c r="C523" s="3">
        <v>222222.0</v>
      </c>
      <c r="D523" s="3" t="s">
        <v>8</v>
      </c>
      <c r="E523" s="3" t="s">
        <v>9</v>
      </c>
      <c r="F523" s="3" t="s">
        <v>10</v>
      </c>
    </row>
    <row r="524">
      <c r="A524" s="5" t="str">
        <f>IFERROR(__xludf.DUMMYFUNCTION("""COMPUTED_VALUE"""),"DBP02000522")</f>
        <v>DBP02000522</v>
      </c>
      <c r="B524" s="5" t="str">
        <f>IFERROR(__xludf.DUMMYFUNCTION("""COMPUTED_VALUE"""),"nanangdp26@gmail.com")</f>
        <v>nanangdp26@gmail.com</v>
      </c>
      <c r="C524" s="3">
        <v>222222.0</v>
      </c>
      <c r="D524" s="3" t="s">
        <v>8</v>
      </c>
      <c r="E524" s="3" t="s">
        <v>9</v>
      </c>
      <c r="F524" s="3" t="s">
        <v>10</v>
      </c>
    </row>
    <row r="525">
      <c r="A525" s="5" t="str">
        <f>IFERROR(__xludf.DUMMYFUNCTION("""COMPUTED_VALUE"""),"DBP02000523")</f>
        <v>DBP02000523</v>
      </c>
      <c r="B525" s="5" t="str">
        <f>IFERROR(__xludf.DUMMYFUNCTION("""COMPUTED_VALUE"""),"dinarartanti@gmail.com")</f>
        <v>dinarartanti@gmail.com</v>
      </c>
      <c r="C525" s="3">
        <v>222222.0</v>
      </c>
      <c r="D525" s="3" t="s">
        <v>8</v>
      </c>
      <c r="E525" s="3" t="s">
        <v>9</v>
      </c>
      <c r="F525" s="3" t="s">
        <v>10</v>
      </c>
    </row>
    <row r="526">
      <c r="A526" s="5" t="str">
        <f>IFERROR(__xludf.DUMMYFUNCTION("""COMPUTED_VALUE"""),"DBP02000524")</f>
        <v>DBP02000524</v>
      </c>
      <c r="B526" s="5" t="str">
        <f>IFERROR(__xludf.DUMMYFUNCTION("""COMPUTED_VALUE"""),"marlindaoktavia55@gmail.com")</f>
        <v>marlindaoktavia55@gmail.com</v>
      </c>
      <c r="C526" s="3">
        <v>222222.0</v>
      </c>
      <c r="D526" s="3" t="s">
        <v>8</v>
      </c>
      <c r="E526" s="3" t="s">
        <v>9</v>
      </c>
      <c r="F526" s="3" t="s">
        <v>10</v>
      </c>
    </row>
    <row r="527">
      <c r="A527" s="5" t="str">
        <f>IFERROR(__xludf.DUMMYFUNCTION("""COMPUTED_VALUE"""),"DBP02000525")</f>
        <v>DBP02000525</v>
      </c>
      <c r="B527" s="5" t="str">
        <f>IFERROR(__xludf.DUMMYFUNCTION("""COMPUTED_VALUE"""),"titikpurwanti637@gmail.com")</f>
        <v>titikpurwanti637@gmail.com</v>
      </c>
      <c r="C527" s="3">
        <v>222222.0</v>
      </c>
      <c r="D527" s="3" t="s">
        <v>8</v>
      </c>
      <c r="E527" s="3" t="s">
        <v>9</v>
      </c>
      <c r="F527" s="3" t="s">
        <v>10</v>
      </c>
    </row>
    <row r="528">
      <c r="A528" s="5" t="str">
        <f>IFERROR(__xludf.DUMMYFUNCTION("""COMPUTED_VALUE"""),"DBP02000526")</f>
        <v>DBP02000526</v>
      </c>
      <c r="B528" s="5" t="str">
        <f>IFERROR(__xludf.DUMMYFUNCTION("""COMPUTED_VALUE"""),"irawanrusiana83@gmail.com")</f>
        <v>irawanrusiana83@gmail.com</v>
      </c>
      <c r="C528" s="3">
        <v>222222.0</v>
      </c>
      <c r="D528" s="3" t="s">
        <v>8</v>
      </c>
      <c r="E528" s="3" t="s">
        <v>9</v>
      </c>
      <c r="F528" s="3" t="s">
        <v>10</v>
      </c>
    </row>
    <row r="529">
      <c r="A529" s="5" t="str">
        <f>IFERROR(__xludf.DUMMYFUNCTION("""COMPUTED_VALUE"""),"DBP02000527")</f>
        <v>DBP02000527</v>
      </c>
      <c r="B529" s="5" t="str">
        <f>IFERROR(__xludf.DUMMYFUNCTION("""COMPUTED_VALUE"""),"dewif0319@gmail.com")</f>
        <v>dewif0319@gmail.com</v>
      </c>
      <c r="C529" s="3">
        <v>222222.0</v>
      </c>
      <c r="D529" s="3" t="s">
        <v>8</v>
      </c>
      <c r="E529" s="3" t="s">
        <v>9</v>
      </c>
      <c r="F529" s="3" t="s">
        <v>10</v>
      </c>
    </row>
    <row r="530">
      <c r="A530" s="5" t="str">
        <f>IFERROR(__xludf.DUMMYFUNCTION("""COMPUTED_VALUE"""),"DBP02000528")</f>
        <v>DBP02000528</v>
      </c>
      <c r="B530" s="5" t="str">
        <f>IFERROR(__xludf.DUMMYFUNCTION("""COMPUTED_VALUE"""),"bbubby728@gmail.com")</f>
        <v>bbubby728@gmail.com</v>
      </c>
      <c r="C530" s="3">
        <v>222222.0</v>
      </c>
      <c r="D530" s="3" t="s">
        <v>8</v>
      </c>
      <c r="E530" s="3" t="s">
        <v>9</v>
      </c>
      <c r="F530" s="3" t="s">
        <v>10</v>
      </c>
    </row>
    <row r="531">
      <c r="A531" s="5" t="str">
        <f>IFERROR(__xludf.DUMMYFUNCTION("""COMPUTED_VALUE"""),"DBP02000529")</f>
        <v>DBP02000529</v>
      </c>
      <c r="B531" s="5" t="str">
        <f>IFERROR(__xludf.DUMMYFUNCTION("""COMPUTED_VALUE"""),"dwy.puspitasari@gmail.com")</f>
        <v>dwy.puspitasari@gmail.com</v>
      </c>
      <c r="C531" s="3">
        <v>222222.0</v>
      </c>
      <c r="D531" s="3" t="s">
        <v>8</v>
      </c>
      <c r="E531" s="3" t="s">
        <v>9</v>
      </c>
      <c r="F531" s="3" t="s">
        <v>10</v>
      </c>
    </row>
    <row r="532">
      <c r="A532" s="5" t="str">
        <f>IFERROR(__xludf.DUMMYFUNCTION("""COMPUTED_VALUE"""),"DBP02000530")</f>
        <v>DBP02000530</v>
      </c>
      <c r="B532" s="5" t="str">
        <f>IFERROR(__xludf.DUMMYFUNCTION("""COMPUTED_VALUE"""),"gitagram19@gmail.com")</f>
        <v>gitagram19@gmail.com</v>
      </c>
      <c r="C532" s="3">
        <v>222222.0</v>
      </c>
      <c r="D532" s="3" t="s">
        <v>8</v>
      </c>
      <c r="E532" s="3" t="s">
        <v>9</v>
      </c>
      <c r="F532" s="3" t="s">
        <v>10</v>
      </c>
    </row>
    <row r="533">
      <c r="A533" s="5" t="str">
        <f>IFERROR(__xludf.DUMMYFUNCTION("""COMPUTED_VALUE"""),"DBP02000531")</f>
        <v>DBP02000531</v>
      </c>
      <c r="B533" s="5" t="str">
        <f>IFERROR(__xludf.DUMMYFUNCTION("""COMPUTED_VALUE"""),"firasikit@gmail.com")</f>
        <v>firasikit@gmail.com</v>
      </c>
      <c r="C533" s="3">
        <v>222222.0</v>
      </c>
      <c r="D533" s="3" t="s">
        <v>8</v>
      </c>
      <c r="E533" s="3" t="s">
        <v>9</v>
      </c>
      <c r="F533" s="3" t="s">
        <v>10</v>
      </c>
    </row>
    <row r="534">
      <c r="A534" s="5" t="str">
        <f>IFERROR(__xludf.DUMMYFUNCTION("""COMPUTED_VALUE"""),"DBP02000532")</f>
        <v>DBP02000532</v>
      </c>
      <c r="B534" s="5" t="str">
        <f>IFERROR(__xludf.DUMMYFUNCTION("""COMPUTED_VALUE"""),"fitrianaumi1@gmail.com")</f>
        <v>fitrianaumi1@gmail.com</v>
      </c>
      <c r="C534" s="3">
        <v>222222.0</v>
      </c>
      <c r="D534" s="3" t="s">
        <v>8</v>
      </c>
      <c r="E534" s="3" t="s">
        <v>9</v>
      </c>
      <c r="F534" s="3" t="s">
        <v>10</v>
      </c>
    </row>
    <row r="535">
      <c r="A535" s="5" t="str">
        <f>IFERROR(__xludf.DUMMYFUNCTION("""COMPUTED_VALUE"""),"DBP02000533")</f>
        <v>DBP02000533</v>
      </c>
      <c r="B535" s="5" t="str">
        <f>IFERROR(__xludf.DUMMYFUNCTION("""COMPUTED_VALUE"""),"moza.siti11@gmail.com")</f>
        <v>moza.siti11@gmail.com</v>
      </c>
      <c r="C535" s="3">
        <v>222222.0</v>
      </c>
      <c r="D535" s="3" t="s">
        <v>8</v>
      </c>
      <c r="E535" s="3" t="s">
        <v>9</v>
      </c>
      <c r="F535" s="3" t="s">
        <v>10</v>
      </c>
    </row>
    <row r="536">
      <c r="A536" s="5" t="str">
        <f>IFERROR(__xludf.DUMMYFUNCTION("""COMPUTED_VALUE"""),"DBP02000534")</f>
        <v>DBP02000534</v>
      </c>
      <c r="B536" s="5" t="str">
        <f>IFERROR(__xludf.DUMMYFUNCTION("""COMPUTED_VALUE"""),"inarotussaidah.math@students.unnes.ac.id")</f>
        <v>inarotussaidah.math@students.unnes.ac.id</v>
      </c>
      <c r="C536" s="3">
        <v>222222.0</v>
      </c>
      <c r="D536" s="3" t="s">
        <v>8</v>
      </c>
      <c r="E536" s="3" t="s">
        <v>9</v>
      </c>
      <c r="F536" s="3" t="s">
        <v>10</v>
      </c>
    </row>
    <row r="537">
      <c r="A537" s="5" t="str">
        <f>IFERROR(__xludf.DUMMYFUNCTION("""COMPUTED_VALUE"""),"DBP02000535")</f>
        <v>DBP02000535</v>
      </c>
      <c r="B537" s="5" t="str">
        <f>IFERROR(__xludf.DUMMYFUNCTION("""COMPUTED_VALUE"""),"shainalabiba52@gmail.com")</f>
        <v>shainalabiba52@gmail.com</v>
      </c>
      <c r="C537" s="3">
        <v>222222.0</v>
      </c>
      <c r="D537" s="3" t="s">
        <v>8</v>
      </c>
      <c r="E537" s="3" t="s">
        <v>9</v>
      </c>
      <c r="F537" s="3" t="s">
        <v>10</v>
      </c>
    </row>
    <row r="538">
      <c r="A538" s="5" t="str">
        <f>IFERROR(__xludf.DUMMYFUNCTION("""COMPUTED_VALUE"""),"DBP02000536")</f>
        <v>DBP02000536</v>
      </c>
      <c r="B538" s="5" t="str">
        <f>IFERROR(__xludf.DUMMYFUNCTION("""COMPUTED_VALUE"""),"fatah.jepara08@gmail.com")</f>
        <v>fatah.jepara08@gmail.com</v>
      </c>
      <c r="C538" s="3">
        <v>222222.0</v>
      </c>
      <c r="D538" s="3" t="s">
        <v>8</v>
      </c>
      <c r="E538" s="3" t="s">
        <v>9</v>
      </c>
      <c r="F538" s="3" t="s">
        <v>10</v>
      </c>
    </row>
    <row r="539">
      <c r="A539" s="5" t="str">
        <f>IFERROR(__xludf.DUMMYFUNCTION("""COMPUTED_VALUE"""),"DBP02000537")</f>
        <v>DBP02000537</v>
      </c>
      <c r="B539" s="5" t="str">
        <f>IFERROR(__xludf.DUMMYFUNCTION("""COMPUTED_VALUE"""),"putridwicahyanti30@gmail.com")</f>
        <v>putridwicahyanti30@gmail.com</v>
      </c>
      <c r="C539" s="3">
        <v>222222.0</v>
      </c>
      <c r="D539" s="3" t="s">
        <v>8</v>
      </c>
      <c r="E539" s="3" t="s">
        <v>9</v>
      </c>
      <c r="F539" s="3" t="s">
        <v>10</v>
      </c>
    </row>
    <row r="540">
      <c r="A540" s="5" t="str">
        <f>IFERROR(__xludf.DUMMYFUNCTION("""COMPUTED_VALUE"""),"DBP02000538")</f>
        <v>DBP02000538</v>
      </c>
      <c r="B540" s="5" t="str">
        <f>IFERROR(__xludf.DUMMYFUNCTION("""COMPUTED_VALUE"""),"shanti.beswan27@gmail.com")</f>
        <v>shanti.beswan27@gmail.com</v>
      </c>
      <c r="C540" s="3">
        <v>222222.0</v>
      </c>
      <c r="D540" s="3" t="s">
        <v>8</v>
      </c>
      <c r="E540" s="3" t="s">
        <v>9</v>
      </c>
      <c r="F540" s="3" t="s">
        <v>10</v>
      </c>
    </row>
    <row r="541">
      <c r="A541" s="5" t="str">
        <f>IFERROR(__xludf.DUMMYFUNCTION("""COMPUTED_VALUE"""),"DBP02000539")</f>
        <v>DBP02000539</v>
      </c>
      <c r="B541" s="5" t="str">
        <f>IFERROR(__xludf.DUMMYFUNCTION("""COMPUTED_VALUE"""),"simbolonroli@gmail.com")</f>
        <v>simbolonroli@gmail.com</v>
      </c>
      <c r="C541" s="3">
        <v>222222.0</v>
      </c>
      <c r="D541" s="3" t="s">
        <v>8</v>
      </c>
      <c r="E541" s="3" t="s">
        <v>9</v>
      </c>
      <c r="F541" s="3" t="s">
        <v>10</v>
      </c>
    </row>
    <row r="542">
      <c r="A542" s="5" t="str">
        <f>IFERROR(__xludf.DUMMYFUNCTION("""COMPUTED_VALUE"""),"DBP02000540")</f>
        <v>DBP02000540</v>
      </c>
      <c r="B542" s="5" t="str">
        <f>IFERROR(__xludf.DUMMYFUNCTION("""COMPUTED_VALUE"""),"febybestluck9@gmail.com")</f>
        <v>febybestluck9@gmail.com</v>
      </c>
      <c r="C542" s="3">
        <v>222222.0</v>
      </c>
      <c r="D542" s="3" t="s">
        <v>8</v>
      </c>
      <c r="E542" s="3" t="s">
        <v>9</v>
      </c>
      <c r="F542" s="3" t="s">
        <v>10</v>
      </c>
    </row>
    <row r="543">
      <c r="A543" s="5" t="str">
        <f>IFERROR(__xludf.DUMMYFUNCTION("""COMPUTED_VALUE"""),"DBP02000541")</f>
        <v>DBP02000541</v>
      </c>
      <c r="B543" s="5" t="str">
        <f>IFERROR(__xludf.DUMMYFUNCTION("""COMPUTED_VALUE"""),"skharissya@gmail.com")</f>
        <v>skharissya@gmail.com</v>
      </c>
      <c r="C543" s="3">
        <v>222222.0</v>
      </c>
      <c r="D543" s="3" t="s">
        <v>8</v>
      </c>
      <c r="E543" s="3" t="s">
        <v>9</v>
      </c>
      <c r="F543" s="3" t="s">
        <v>10</v>
      </c>
    </row>
    <row r="544">
      <c r="A544" s="5" t="str">
        <f>IFERROR(__xludf.DUMMYFUNCTION("""COMPUTED_VALUE"""),"DBP02000542")</f>
        <v>DBP02000542</v>
      </c>
      <c r="B544" s="5" t="str">
        <f>IFERROR(__xludf.DUMMYFUNCTION("""COMPUTED_VALUE"""),"martaanggit@gmail.com")</f>
        <v>martaanggit@gmail.com</v>
      </c>
      <c r="C544" s="3">
        <v>222222.0</v>
      </c>
      <c r="D544" s="3" t="s">
        <v>8</v>
      </c>
      <c r="E544" s="3" t="s">
        <v>9</v>
      </c>
      <c r="F544" s="3" t="s">
        <v>10</v>
      </c>
    </row>
    <row r="545">
      <c r="A545" s="5" t="str">
        <f>IFERROR(__xludf.DUMMYFUNCTION("""COMPUTED_VALUE"""),"DBP02000543")</f>
        <v>DBP02000543</v>
      </c>
      <c r="B545" s="5" t="str">
        <f>IFERROR(__xludf.DUMMYFUNCTION("""COMPUTED_VALUE"""),"ar.amien19@gmail.com")</f>
        <v>ar.amien19@gmail.com</v>
      </c>
      <c r="C545" s="3">
        <v>222222.0</v>
      </c>
      <c r="D545" s="3" t="s">
        <v>8</v>
      </c>
      <c r="E545" s="3" t="s">
        <v>9</v>
      </c>
      <c r="F545" s="3" t="s">
        <v>10</v>
      </c>
    </row>
    <row r="546">
      <c r="A546" s="5" t="str">
        <f>IFERROR(__xludf.DUMMYFUNCTION("""COMPUTED_VALUE"""),"DBP02000544")</f>
        <v>DBP02000544</v>
      </c>
      <c r="B546" s="5" t="str">
        <f>IFERROR(__xludf.DUMMYFUNCTION("""COMPUTED_VALUE"""),"mariafeliciamh@gmail.com")</f>
        <v>mariafeliciamh@gmail.com</v>
      </c>
      <c r="C546" s="3">
        <v>222222.0</v>
      </c>
      <c r="D546" s="3" t="s">
        <v>8</v>
      </c>
      <c r="E546" s="3" t="s">
        <v>9</v>
      </c>
      <c r="F546" s="3" t="s">
        <v>10</v>
      </c>
    </row>
    <row r="547">
      <c r="A547" s="5" t="str">
        <f>IFERROR(__xludf.DUMMYFUNCTION("""COMPUTED_VALUE"""),"DBP02000545")</f>
        <v>DBP02000545</v>
      </c>
      <c r="B547" s="5" t="str">
        <f>IFERROR(__xludf.DUMMYFUNCTION("""COMPUTED_VALUE"""),"luisaacarmel@gmail.com")</f>
        <v>luisaacarmel@gmail.com</v>
      </c>
      <c r="C547" s="3">
        <v>222222.0</v>
      </c>
      <c r="D547" s="3" t="s">
        <v>8</v>
      </c>
      <c r="E547" s="3" t="s">
        <v>9</v>
      </c>
      <c r="F547" s="3" t="s">
        <v>10</v>
      </c>
    </row>
    <row r="548">
      <c r="A548" s="5" t="str">
        <f>IFERROR(__xludf.DUMMYFUNCTION("""COMPUTED_VALUE"""),"DBP02000546")</f>
        <v>DBP02000546</v>
      </c>
      <c r="B548" s="5" t="str">
        <f>IFERROR(__xludf.DUMMYFUNCTION("""COMPUTED_VALUE"""),"desitadini.prastiwi@gmail.com")</f>
        <v>desitadini.prastiwi@gmail.com</v>
      </c>
      <c r="C548" s="3">
        <v>222222.0</v>
      </c>
      <c r="D548" s="3" t="s">
        <v>8</v>
      </c>
      <c r="E548" s="3" t="s">
        <v>9</v>
      </c>
      <c r="F548" s="3" t="s">
        <v>10</v>
      </c>
    </row>
    <row r="549">
      <c r="A549" s="5" t="str">
        <f>IFERROR(__xludf.DUMMYFUNCTION("""COMPUTED_VALUE"""),"DBP02000547")</f>
        <v>DBP02000547</v>
      </c>
      <c r="B549" s="5" t="str">
        <f>IFERROR(__xludf.DUMMYFUNCTION("""COMPUTED_VALUE"""),"miqimakassar@gmail.com")</f>
        <v>miqimakassar@gmail.com</v>
      </c>
      <c r="C549" s="3">
        <v>222222.0</v>
      </c>
      <c r="D549" s="3" t="s">
        <v>8</v>
      </c>
      <c r="E549" s="3" t="s">
        <v>9</v>
      </c>
      <c r="F549" s="3" t="s">
        <v>10</v>
      </c>
    </row>
    <row r="550">
      <c r="A550" s="5" t="str">
        <f>IFERROR(__xludf.DUMMYFUNCTION("""COMPUTED_VALUE"""),"DBP02000548")</f>
        <v>DBP02000548</v>
      </c>
      <c r="B550" s="5" t="str">
        <f>IFERROR(__xludf.DUMMYFUNCTION("""COMPUTED_VALUE"""),"hanapekey222@gmail.com")</f>
        <v>hanapekey222@gmail.com</v>
      </c>
      <c r="C550" s="3">
        <v>222222.0</v>
      </c>
      <c r="D550" s="3" t="s">
        <v>8</v>
      </c>
      <c r="E550" s="3" t="s">
        <v>9</v>
      </c>
      <c r="F550" s="3" t="s">
        <v>10</v>
      </c>
    </row>
    <row r="551">
      <c r="A551" s="5" t="str">
        <f>IFERROR(__xludf.DUMMYFUNCTION("""COMPUTED_VALUE"""),"DBP02000549")</f>
        <v>DBP02000549</v>
      </c>
      <c r="B551" s="5" t="str">
        <f>IFERROR(__xludf.DUMMYFUNCTION("""COMPUTED_VALUE"""),"mariachristigitak@gmail.com")</f>
        <v>mariachristigitak@gmail.com</v>
      </c>
      <c r="C551" s="3">
        <v>222222.0</v>
      </c>
      <c r="D551" s="3" t="s">
        <v>8</v>
      </c>
      <c r="E551" s="3" t="s">
        <v>9</v>
      </c>
      <c r="F551" s="3" t="s">
        <v>10</v>
      </c>
    </row>
    <row r="552">
      <c r="A552" s="5" t="str">
        <f>IFERROR(__xludf.DUMMYFUNCTION("""COMPUTED_VALUE"""),"DBP02000550")</f>
        <v>DBP02000550</v>
      </c>
      <c r="B552" s="5" t="str">
        <f>IFERROR(__xludf.DUMMYFUNCTION("""COMPUTED_VALUE"""),"sakailham010110@gmail.com")</f>
        <v>sakailham010110@gmail.com</v>
      </c>
      <c r="C552" s="3">
        <v>222222.0</v>
      </c>
      <c r="D552" s="3" t="s">
        <v>8</v>
      </c>
      <c r="E552" s="3" t="s">
        <v>9</v>
      </c>
      <c r="F552" s="3" t="s">
        <v>10</v>
      </c>
    </row>
    <row r="553">
      <c r="A553" s="5" t="str">
        <f>IFERROR(__xludf.DUMMYFUNCTION("""COMPUTED_VALUE"""),"DBP02000551")</f>
        <v>DBP02000551</v>
      </c>
      <c r="B553" s="5" t="str">
        <f>IFERROR(__xludf.DUMMYFUNCTION("""COMPUTED_VALUE"""),"fadlullaili20@gmail.com")</f>
        <v>fadlullaili20@gmail.com</v>
      </c>
      <c r="C553" s="3">
        <v>222222.0</v>
      </c>
      <c r="D553" s="3" t="s">
        <v>8</v>
      </c>
      <c r="E553" s="3" t="s">
        <v>9</v>
      </c>
      <c r="F553" s="3" t="s">
        <v>10</v>
      </c>
    </row>
    <row r="554">
      <c r="A554" s="5" t="str">
        <f>IFERROR(__xludf.DUMMYFUNCTION("""COMPUTED_VALUE"""),"DBP02000552")</f>
        <v>DBP02000552</v>
      </c>
      <c r="B554" s="5" t="str">
        <f>IFERROR(__xludf.DUMMYFUNCTION("""COMPUTED_VALUE"""),"rinoartupas@gmail.com")</f>
        <v>rinoartupas@gmail.com</v>
      </c>
      <c r="C554" s="3">
        <v>222222.0</v>
      </c>
      <c r="D554" s="3" t="s">
        <v>8</v>
      </c>
      <c r="E554" s="3" t="s">
        <v>9</v>
      </c>
      <c r="F554" s="3" t="s">
        <v>10</v>
      </c>
    </row>
    <row r="555">
      <c r="A555" s="5" t="str">
        <f>IFERROR(__xludf.DUMMYFUNCTION("""COMPUTED_VALUE"""),"DBP02000553")</f>
        <v>DBP02000553</v>
      </c>
      <c r="B555" s="5" t="str">
        <f>IFERROR(__xludf.DUMMYFUNCTION("""COMPUTED_VALUE"""),"ir.irmapuspitasari@gmail.com")</f>
        <v>ir.irmapuspitasari@gmail.com</v>
      </c>
      <c r="C555" s="3">
        <v>222222.0</v>
      </c>
      <c r="D555" s="3" t="s">
        <v>8</v>
      </c>
      <c r="E555" s="3" t="s">
        <v>9</v>
      </c>
      <c r="F555" s="3" t="s">
        <v>10</v>
      </c>
    </row>
    <row r="556">
      <c r="A556" s="5" t="str">
        <f>IFERROR(__xludf.DUMMYFUNCTION("""COMPUTED_VALUE"""),"DBP02000554")</f>
        <v>DBP02000554</v>
      </c>
      <c r="B556" s="5" t="str">
        <f>IFERROR(__xludf.DUMMYFUNCTION("""COMPUTED_VALUE"""),"ristajlatuputty@gmail.com")</f>
        <v>ristajlatuputty@gmail.com</v>
      </c>
      <c r="C556" s="3">
        <v>222222.0</v>
      </c>
      <c r="D556" s="3" t="s">
        <v>8</v>
      </c>
      <c r="E556" s="3" t="s">
        <v>9</v>
      </c>
      <c r="F556" s="3" t="s">
        <v>10</v>
      </c>
    </row>
    <row r="557">
      <c r="A557" s="5" t="str">
        <f>IFERROR(__xludf.DUMMYFUNCTION("""COMPUTED_VALUE"""),"DBP02000555")</f>
        <v>DBP02000555</v>
      </c>
      <c r="B557" s="5" t="str">
        <f>IFERROR(__xludf.DUMMYFUNCTION("""COMPUTED_VALUE"""),"indahpurnami10@gmail.com")</f>
        <v>indahpurnami10@gmail.com</v>
      </c>
      <c r="C557" s="3">
        <v>222222.0</v>
      </c>
      <c r="D557" s="3" t="s">
        <v>8</v>
      </c>
      <c r="E557" s="3" t="s">
        <v>9</v>
      </c>
      <c r="F557" s="3" t="s">
        <v>10</v>
      </c>
    </row>
    <row r="558">
      <c r="A558" s="5" t="str">
        <f>IFERROR(__xludf.DUMMYFUNCTION("""COMPUTED_VALUE"""),"DBP02000556")</f>
        <v>DBP02000556</v>
      </c>
      <c r="B558" s="5" t="str">
        <f>IFERROR(__xludf.DUMMYFUNCTION("""COMPUTED_VALUE"""),"tansulaimandulu@gmail.com")</f>
        <v>tansulaimandulu@gmail.com</v>
      </c>
      <c r="C558" s="3">
        <v>222222.0</v>
      </c>
      <c r="D558" s="3" t="s">
        <v>8</v>
      </c>
      <c r="E558" s="3" t="s">
        <v>9</v>
      </c>
      <c r="F558" s="3" t="s">
        <v>10</v>
      </c>
    </row>
    <row r="559">
      <c r="A559" s="5" t="str">
        <f>IFERROR(__xludf.DUMMYFUNCTION("""COMPUTED_VALUE"""),"DBP02000557")</f>
        <v>DBP02000557</v>
      </c>
      <c r="B559" s="5" t="str">
        <f>IFERROR(__xludf.DUMMYFUNCTION("""COMPUTED_VALUE"""),"adellasuwandhii@gmail.com")</f>
        <v>adellasuwandhii@gmail.com</v>
      </c>
      <c r="C559" s="3">
        <v>222222.0</v>
      </c>
      <c r="D559" s="3" t="s">
        <v>8</v>
      </c>
      <c r="E559" s="3" t="s">
        <v>9</v>
      </c>
      <c r="F559" s="3" t="s">
        <v>10</v>
      </c>
    </row>
    <row r="560">
      <c r="A560" s="5" t="str">
        <f>IFERROR(__xludf.DUMMYFUNCTION("""COMPUTED_VALUE"""),"DBP02000558")</f>
        <v>DBP02000558</v>
      </c>
      <c r="B560" s="5" t="str">
        <f>IFERROR(__xludf.DUMMYFUNCTION("""COMPUTED_VALUE"""),"shintalistiandani@gmail.com")</f>
        <v>shintalistiandani@gmail.com</v>
      </c>
      <c r="C560" s="3">
        <v>222222.0</v>
      </c>
      <c r="D560" s="3" t="s">
        <v>8</v>
      </c>
      <c r="E560" s="3" t="s">
        <v>9</v>
      </c>
      <c r="F560" s="3" t="s">
        <v>10</v>
      </c>
    </row>
    <row r="561">
      <c r="A561" s="5" t="str">
        <f>IFERROR(__xludf.DUMMYFUNCTION("""COMPUTED_VALUE"""),"DBP02000559")</f>
        <v>DBP02000559</v>
      </c>
      <c r="B561" s="5" t="str">
        <f>IFERROR(__xludf.DUMMYFUNCTION("""COMPUTED_VALUE"""),"vhia.noviarti@gmail.com")</f>
        <v>vhia.noviarti@gmail.com</v>
      </c>
      <c r="C561" s="3">
        <v>222222.0</v>
      </c>
      <c r="D561" s="3" t="s">
        <v>8</v>
      </c>
      <c r="E561" s="3" t="s">
        <v>9</v>
      </c>
      <c r="F561" s="3" t="s">
        <v>10</v>
      </c>
    </row>
    <row r="562">
      <c r="A562" s="5" t="str">
        <f>IFERROR(__xludf.DUMMYFUNCTION("""COMPUTED_VALUE"""),"DBP02000560")</f>
        <v>DBP02000560</v>
      </c>
      <c r="B562" s="5" t="str">
        <f>IFERROR(__xludf.DUMMYFUNCTION("""COMPUTED_VALUE"""),"silviamorena0709@gmail.com")</f>
        <v>silviamorena0709@gmail.com</v>
      </c>
      <c r="C562" s="3">
        <v>222222.0</v>
      </c>
      <c r="D562" s="3" t="s">
        <v>8</v>
      </c>
      <c r="E562" s="3" t="s">
        <v>9</v>
      </c>
      <c r="F562" s="3" t="s">
        <v>10</v>
      </c>
    </row>
    <row r="563">
      <c r="A563" s="5" t="str">
        <f>IFERROR(__xludf.DUMMYFUNCTION("""COMPUTED_VALUE"""),"DBP02000561")</f>
        <v>DBP02000561</v>
      </c>
      <c r="B563" s="5" t="str">
        <f>IFERROR(__xludf.DUMMYFUNCTION("""COMPUTED_VALUE"""),"n.karima97@gmail.com")</f>
        <v>n.karima97@gmail.com</v>
      </c>
      <c r="C563" s="3">
        <v>222222.0</v>
      </c>
      <c r="D563" s="3" t="s">
        <v>8</v>
      </c>
      <c r="E563" s="3" t="s">
        <v>9</v>
      </c>
      <c r="F563" s="3" t="s">
        <v>10</v>
      </c>
    </row>
    <row r="564">
      <c r="A564" s="5" t="str">
        <f>IFERROR(__xludf.DUMMYFUNCTION("""COMPUTED_VALUE"""),"DBP02000562")</f>
        <v>DBP02000562</v>
      </c>
      <c r="B564" s="5" t="str">
        <f>IFERROR(__xludf.DUMMYFUNCTION("""COMPUTED_VALUE"""),"zul.0687@gmail.com")</f>
        <v>zul.0687@gmail.com</v>
      </c>
      <c r="C564" s="3">
        <v>222222.0</v>
      </c>
      <c r="D564" s="3" t="s">
        <v>8</v>
      </c>
      <c r="E564" s="3" t="s">
        <v>9</v>
      </c>
      <c r="F564" s="3" t="s">
        <v>10</v>
      </c>
    </row>
    <row r="565">
      <c r="A565" s="5" t="str">
        <f>IFERROR(__xludf.DUMMYFUNCTION("""COMPUTED_VALUE"""),"DBP02000563")</f>
        <v>DBP02000563</v>
      </c>
      <c r="B565" s="5" t="str">
        <f>IFERROR(__xludf.DUMMYFUNCTION("""COMPUTED_VALUE"""),"sadewadias@gmail.com")</f>
        <v>sadewadias@gmail.com</v>
      </c>
      <c r="C565" s="3">
        <v>222222.0</v>
      </c>
      <c r="D565" s="3" t="s">
        <v>8</v>
      </c>
      <c r="E565" s="3" t="s">
        <v>9</v>
      </c>
      <c r="F565" s="3" t="s">
        <v>10</v>
      </c>
    </row>
    <row r="566">
      <c r="A566" s="5" t="str">
        <f>IFERROR(__xludf.DUMMYFUNCTION("""COMPUTED_VALUE"""),"DBP02000564")</f>
        <v>DBP02000564</v>
      </c>
      <c r="B566" s="5" t="str">
        <f>IFERROR(__xludf.DUMMYFUNCTION("""COMPUTED_VALUE"""),"grcgracia@gmail.com")</f>
        <v>grcgracia@gmail.com</v>
      </c>
      <c r="C566" s="3">
        <v>222222.0</v>
      </c>
      <c r="D566" s="3" t="s">
        <v>8</v>
      </c>
      <c r="E566" s="3" t="s">
        <v>9</v>
      </c>
      <c r="F566" s="3" t="s">
        <v>10</v>
      </c>
    </row>
    <row r="567">
      <c r="A567" s="5" t="str">
        <f>IFERROR(__xludf.DUMMYFUNCTION("""COMPUTED_VALUE"""),"DBP02000565")</f>
        <v>DBP02000565</v>
      </c>
      <c r="B567" s="5" t="str">
        <f>IFERROR(__xludf.DUMMYFUNCTION("""COMPUTED_VALUE"""),"anggara.hetri@gmail.com")</f>
        <v>anggara.hetri@gmail.com</v>
      </c>
      <c r="C567" s="3">
        <v>222222.0</v>
      </c>
      <c r="D567" s="3" t="s">
        <v>8</v>
      </c>
      <c r="E567" s="3" t="s">
        <v>9</v>
      </c>
      <c r="F567" s="3" t="s">
        <v>10</v>
      </c>
    </row>
    <row r="568">
      <c r="A568" s="5" t="str">
        <f>IFERROR(__xludf.DUMMYFUNCTION("""COMPUTED_VALUE"""),"DBP02000566")</f>
        <v>DBP02000566</v>
      </c>
      <c r="B568" s="5" t="str">
        <f>IFERROR(__xludf.DUMMYFUNCTION("""COMPUTED_VALUE"""),"oenwibowo@gmail.com")</f>
        <v>oenwibowo@gmail.com</v>
      </c>
      <c r="C568" s="3">
        <v>222222.0</v>
      </c>
      <c r="D568" s="3" t="s">
        <v>8</v>
      </c>
      <c r="E568" s="3" t="s">
        <v>9</v>
      </c>
      <c r="F568" s="3" t="s">
        <v>10</v>
      </c>
    </row>
    <row r="569">
      <c r="A569" s="5" t="str">
        <f>IFERROR(__xludf.DUMMYFUNCTION("""COMPUTED_VALUE"""),"DBP02000567")</f>
        <v>DBP02000567</v>
      </c>
      <c r="B569" s="5" t="str">
        <f>IFERROR(__xludf.DUMMYFUNCTION("""COMPUTED_VALUE"""),"gitawindasr@gmail.com")</f>
        <v>gitawindasr@gmail.com</v>
      </c>
      <c r="C569" s="3">
        <v>222222.0</v>
      </c>
      <c r="D569" s="3" t="s">
        <v>8</v>
      </c>
      <c r="E569" s="3" t="s">
        <v>9</v>
      </c>
      <c r="F569" s="3" t="s">
        <v>10</v>
      </c>
    </row>
    <row r="570">
      <c r="A570" s="5" t="str">
        <f>IFERROR(__xludf.DUMMYFUNCTION("""COMPUTED_VALUE"""),"DBP02000568")</f>
        <v>DBP02000568</v>
      </c>
      <c r="B570" s="5" t="str">
        <f>IFERROR(__xludf.DUMMYFUNCTION("""COMPUTED_VALUE"""),"ishamulayadyakmal@gmail.com")</f>
        <v>ishamulayadyakmal@gmail.com</v>
      </c>
      <c r="C570" s="3">
        <v>222222.0</v>
      </c>
      <c r="D570" s="3" t="s">
        <v>8</v>
      </c>
      <c r="E570" s="3" t="s">
        <v>9</v>
      </c>
      <c r="F570" s="3" t="s">
        <v>10</v>
      </c>
    </row>
    <row r="571">
      <c r="A571" s="5" t="str">
        <f>IFERROR(__xludf.DUMMYFUNCTION("""COMPUTED_VALUE"""),"DBP02000569")</f>
        <v>DBP02000569</v>
      </c>
      <c r="B571" s="5" t="str">
        <f>IFERROR(__xludf.DUMMYFUNCTION("""COMPUTED_VALUE"""),"idondidong@gmail.com")</f>
        <v>idondidong@gmail.com</v>
      </c>
      <c r="C571" s="3">
        <v>222222.0</v>
      </c>
      <c r="D571" s="3" t="s">
        <v>8</v>
      </c>
      <c r="E571" s="3" t="s">
        <v>9</v>
      </c>
      <c r="F571" s="3" t="s">
        <v>10</v>
      </c>
    </row>
    <row r="572">
      <c r="A572" s="5" t="str">
        <f>IFERROR(__xludf.DUMMYFUNCTION("""COMPUTED_VALUE"""),"DBP02000570")</f>
        <v>DBP02000570</v>
      </c>
      <c r="B572" s="5" t="str">
        <f>IFERROR(__xludf.DUMMYFUNCTION("""COMPUTED_VALUE"""),"julionoya17@gmail.com")</f>
        <v>julionoya17@gmail.com</v>
      </c>
      <c r="C572" s="3">
        <v>222222.0</v>
      </c>
      <c r="D572" s="3" t="s">
        <v>8</v>
      </c>
      <c r="E572" s="3" t="s">
        <v>9</v>
      </c>
      <c r="F572" s="3" t="s">
        <v>10</v>
      </c>
    </row>
    <row r="573">
      <c r="A573" s="5" t="str">
        <f>IFERROR(__xludf.DUMMYFUNCTION("""COMPUTED_VALUE"""),"DBP02000571")</f>
        <v>DBP02000571</v>
      </c>
      <c r="B573" s="5" t="str">
        <f>IFERROR(__xludf.DUMMYFUNCTION("""COMPUTED_VALUE"""),"amarlina279@gmail.com")</f>
        <v>amarlina279@gmail.com</v>
      </c>
      <c r="C573" s="3">
        <v>222222.0</v>
      </c>
      <c r="D573" s="3" t="s">
        <v>8</v>
      </c>
      <c r="E573" s="3" t="s">
        <v>9</v>
      </c>
      <c r="F573" s="3" t="s">
        <v>10</v>
      </c>
    </row>
    <row r="574">
      <c r="A574" s="5" t="str">
        <f>IFERROR(__xludf.DUMMYFUNCTION("""COMPUTED_VALUE"""),"DBP02000572")</f>
        <v>DBP02000572</v>
      </c>
      <c r="B574" s="5" t="str">
        <f>IFERROR(__xludf.DUMMYFUNCTION("""COMPUTED_VALUE"""),"nugrohowasis34@gmail.com")</f>
        <v>nugrohowasis34@gmail.com</v>
      </c>
      <c r="C574" s="3">
        <v>222222.0</v>
      </c>
      <c r="D574" s="3" t="s">
        <v>8</v>
      </c>
      <c r="E574" s="3" t="s">
        <v>9</v>
      </c>
      <c r="F574" s="3" t="s">
        <v>10</v>
      </c>
    </row>
    <row r="575">
      <c r="A575" s="5" t="str">
        <f>IFERROR(__xludf.DUMMYFUNCTION("""COMPUTED_VALUE"""),"DBP02000573")</f>
        <v>DBP02000573</v>
      </c>
      <c r="B575" s="5" t="str">
        <f>IFERROR(__xludf.DUMMYFUNCTION("""COMPUTED_VALUE"""),"imbangp@gmail.com")</f>
        <v>imbangp@gmail.com</v>
      </c>
      <c r="C575" s="3">
        <v>222222.0</v>
      </c>
      <c r="D575" s="3" t="s">
        <v>8</v>
      </c>
      <c r="E575" s="3" t="s">
        <v>9</v>
      </c>
      <c r="F575" s="3" t="s">
        <v>10</v>
      </c>
    </row>
    <row r="576">
      <c r="A576" s="5" t="str">
        <f>IFERROR(__xludf.DUMMYFUNCTION("""COMPUTED_VALUE"""),"DBP02000574")</f>
        <v>DBP02000574</v>
      </c>
      <c r="B576" s="5" t="str">
        <f>IFERROR(__xludf.DUMMYFUNCTION("""COMPUTED_VALUE"""),"awalina46@gmail.com")</f>
        <v>awalina46@gmail.com</v>
      </c>
      <c r="C576" s="3">
        <v>222222.0</v>
      </c>
      <c r="D576" s="3" t="s">
        <v>8</v>
      </c>
      <c r="E576" s="3" t="s">
        <v>9</v>
      </c>
      <c r="F576" s="3" t="s">
        <v>10</v>
      </c>
    </row>
    <row r="577">
      <c r="A577" s="5" t="str">
        <f>IFERROR(__xludf.DUMMYFUNCTION("""COMPUTED_VALUE"""),"DBP02000575")</f>
        <v>DBP02000575</v>
      </c>
      <c r="B577" s="5" t="str">
        <f>IFERROR(__xludf.DUMMYFUNCTION("""COMPUTED_VALUE"""),"willy.tanno@gmail.com")</f>
        <v>willy.tanno@gmail.com</v>
      </c>
      <c r="C577" s="3">
        <v>222222.0</v>
      </c>
      <c r="D577" s="3" t="s">
        <v>8</v>
      </c>
      <c r="E577" s="3" t="s">
        <v>9</v>
      </c>
      <c r="F577" s="3" t="s">
        <v>10</v>
      </c>
    </row>
    <row r="578">
      <c r="A578" s="5" t="str">
        <f>IFERROR(__xludf.DUMMYFUNCTION("""COMPUTED_VALUE"""),"DBP02000576")</f>
        <v>DBP02000576</v>
      </c>
      <c r="B578" s="5"/>
      <c r="C578" s="3">
        <v>222222.0</v>
      </c>
      <c r="D578" s="3" t="s">
        <v>8</v>
      </c>
      <c r="E578" s="3" t="s">
        <v>9</v>
      </c>
      <c r="F578" s="3" t="s">
        <v>10</v>
      </c>
    </row>
    <row r="579">
      <c r="A579" s="5" t="str">
        <f>IFERROR(__xludf.DUMMYFUNCTION("""COMPUTED_VALUE"""),"DBP02000577")</f>
        <v>DBP02000577</v>
      </c>
      <c r="B579" s="5" t="str">
        <f>IFERROR(__xludf.DUMMYFUNCTION("""COMPUTED_VALUE"""),"sukmasyafikri@gmail.com")</f>
        <v>sukmasyafikri@gmail.com</v>
      </c>
      <c r="C579" s="3">
        <v>222222.0</v>
      </c>
      <c r="D579" s="3" t="s">
        <v>8</v>
      </c>
      <c r="E579" s="3" t="s">
        <v>9</v>
      </c>
      <c r="F579" s="3" t="s">
        <v>10</v>
      </c>
    </row>
    <row r="580">
      <c r="A580" s="5" t="str">
        <f>IFERROR(__xludf.DUMMYFUNCTION("""COMPUTED_VALUE"""),"DBP02000578")</f>
        <v>DBP02000578</v>
      </c>
      <c r="B580" s="5" t="str">
        <f>IFERROR(__xludf.DUMMYFUNCTION("""COMPUTED_VALUE"""),"ririsarfianti@gmail.com")</f>
        <v>ririsarfianti@gmail.com</v>
      </c>
      <c r="C580" s="3">
        <v>222222.0</v>
      </c>
      <c r="D580" s="3" t="s">
        <v>8</v>
      </c>
      <c r="E580" s="3" t="s">
        <v>9</v>
      </c>
      <c r="F580" s="3" t="s">
        <v>10</v>
      </c>
    </row>
    <row r="581">
      <c r="A581" s="5" t="str">
        <f>IFERROR(__xludf.DUMMYFUNCTION("""COMPUTED_VALUE"""),"DBP02000579")</f>
        <v>DBP02000579</v>
      </c>
      <c r="B581" s="5" t="str">
        <f>IFERROR(__xludf.DUMMYFUNCTION("""COMPUTED_VALUE"""),"fikribakhtiar68@gmail.com")</f>
        <v>fikribakhtiar68@gmail.com</v>
      </c>
      <c r="C581" s="3">
        <v>222222.0</v>
      </c>
      <c r="D581" s="3" t="s">
        <v>8</v>
      </c>
      <c r="E581" s="3" t="s">
        <v>9</v>
      </c>
      <c r="F581" s="3" t="s">
        <v>10</v>
      </c>
    </row>
    <row r="582">
      <c r="A582" s="5" t="str">
        <f>IFERROR(__xludf.DUMMYFUNCTION("""COMPUTED_VALUE"""),"DBP02000580")</f>
        <v>DBP02000580</v>
      </c>
      <c r="B582" s="5" t="str">
        <f>IFERROR(__xludf.DUMMYFUNCTION("""COMPUTED_VALUE"""),"jnrsindy@gmail.com")</f>
        <v>jnrsindy@gmail.com</v>
      </c>
      <c r="C582" s="3">
        <v>222222.0</v>
      </c>
      <c r="D582" s="3" t="s">
        <v>8</v>
      </c>
      <c r="E582" s="3" t="s">
        <v>9</v>
      </c>
      <c r="F582" s="3" t="s">
        <v>10</v>
      </c>
    </row>
    <row r="583">
      <c r="A583" s="5" t="str">
        <f>IFERROR(__xludf.DUMMYFUNCTION("""COMPUTED_VALUE"""),"DBP02000581")</f>
        <v>DBP02000581</v>
      </c>
      <c r="B583" s="5" t="str">
        <f>IFERROR(__xludf.DUMMYFUNCTION("""COMPUTED_VALUE"""),"em.habib99@gmail.com")</f>
        <v>em.habib99@gmail.com</v>
      </c>
      <c r="C583" s="3">
        <v>222222.0</v>
      </c>
      <c r="D583" s="3" t="s">
        <v>8</v>
      </c>
      <c r="E583" s="3" t="s">
        <v>9</v>
      </c>
      <c r="F583" s="3" t="s">
        <v>10</v>
      </c>
    </row>
    <row r="584">
      <c r="A584" s="5" t="str">
        <f>IFERROR(__xludf.DUMMYFUNCTION("""COMPUTED_VALUE"""),"DBP02000582")</f>
        <v>DBP02000582</v>
      </c>
      <c r="B584" s="5" t="str">
        <f>IFERROR(__xludf.DUMMYFUNCTION("""COMPUTED_VALUE"""),"nabilnjn@gmail.com")</f>
        <v>nabilnjn@gmail.com</v>
      </c>
      <c r="C584" s="3">
        <v>222222.0</v>
      </c>
      <c r="D584" s="3" t="s">
        <v>8</v>
      </c>
      <c r="E584" s="3" t="s">
        <v>9</v>
      </c>
      <c r="F584" s="3" t="s">
        <v>10</v>
      </c>
    </row>
    <row r="585">
      <c r="A585" s="5" t="str">
        <f>IFERROR(__xludf.DUMMYFUNCTION("""COMPUTED_VALUE"""),"DBP02000583")</f>
        <v>DBP02000583</v>
      </c>
      <c r="B585" s="5" t="str">
        <f>IFERROR(__xludf.DUMMYFUNCTION("""COMPUTED_VALUE"""),"yovita.ukg@gmail.com")</f>
        <v>yovita.ukg@gmail.com</v>
      </c>
      <c r="C585" s="3">
        <v>222222.0</v>
      </c>
      <c r="D585" s="3" t="s">
        <v>8</v>
      </c>
      <c r="E585" s="3" t="s">
        <v>9</v>
      </c>
      <c r="F585" s="3" t="s">
        <v>10</v>
      </c>
    </row>
    <row r="586">
      <c r="A586" s="5" t="str">
        <f>IFERROR(__xludf.DUMMYFUNCTION("""COMPUTED_VALUE"""),"DBP02000584")</f>
        <v>DBP02000584</v>
      </c>
      <c r="B586" s="5" t="str">
        <f>IFERROR(__xludf.DUMMYFUNCTION("""COMPUTED_VALUE"""),"nurulazisahkamil05@gmail.com")</f>
        <v>nurulazisahkamil05@gmail.com</v>
      </c>
      <c r="C586" s="3">
        <v>222222.0</v>
      </c>
      <c r="D586" s="3" t="s">
        <v>8</v>
      </c>
      <c r="E586" s="3" t="s">
        <v>9</v>
      </c>
      <c r="F586" s="3" t="s">
        <v>10</v>
      </c>
    </row>
    <row r="587">
      <c r="A587" s="5" t="str">
        <f>IFERROR(__xludf.DUMMYFUNCTION("""COMPUTED_VALUE"""),"DBP02000585")</f>
        <v>DBP02000585</v>
      </c>
      <c r="B587" s="5" t="str">
        <f>IFERROR(__xludf.DUMMYFUNCTION("""COMPUTED_VALUE"""),"indramhdr@gmail.com")</f>
        <v>indramhdr@gmail.com</v>
      </c>
      <c r="C587" s="3">
        <v>222222.0</v>
      </c>
      <c r="D587" s="3" t="s">
        <v>8</v>
      </c>
      <c r="E587" s="3" t="s">
        <v>9</v>
      </c>
      <c r="F587" s="3" t="s">
        <v>10</v>
      </c>
    </row>
    <row r="588">
      <c r="A588" s="5" t="str">
        <f>IFERROR(__xludf.DUMMYFUNCTION("""COMPUTED_VALUE"""),"DBP02000586")</f>
        <v>DBP02000586</v>
      </c>
      <c r="B588" s="5" t="str">
        <f>IFERROR(__xludf.DUMMYFUNCTION("""COMPUTED_VALUE"""),"fachrul.thaib@yahoo.com")</f>
        <v>fachrul.thaib@yahoo.com</v>
      </c>
      <c r="C588" s="3">
        <v>222222.0</v>
      </c>
      <c r="D588" s="3" t="s">
        <v>8</v>
      </c>
      <c r="E588" s="3" t="s">
        <v>9</v>
      </c>
      <c r="F588" s="3" t="s">
        <v>10</v>
      </c>
    </row>
    <row r="589">
      <c r="A589" s="5" t="str">
        <f>IFERROR(__xludf.DUMMYFUNCTION("""COMPUTED_VALUE"""),"DBP02000587")</f>
        <v>DBP02000587</v>
      </c>
      <c r="B589" s="5" t="str">
        <f>IFERROR(__xludf.DUMMYFUNCTION("""COMPUTED_VALUE"""),"alexandranatasya@gmail.com")</f>
        <v>alexandranatasya@gmail.com</v>
      </c>
      <c r="C589" s="3">
        <v>222222.0</v>
      </c>
      <c r="D589" s="3" t="s">
        <v>8</v>
      </c>
      <c r="E589" s="3" t="s">
        <v>9</v>
      </c>
      <c r="F589" s="3" t="s">
        <v>10</v>
      </c>
    </row>
    <row r="590">
      <c r="A590" s="5" t="str">
        <f>IFERROR(__xludf.DUMMYFUNCTION("""COMPUTED_VALUE"""),"DBP02000588")</f>
        <v>DBP02000588</v>
      </c>
      <c r="B590" s="5" t="str">
        <f>IFERROR(__xludf.DUMMYFUNCTION("""COMPUTED_VALUE"""),"afqa1973@gmail.com")</f>
        <v>afqa1973@gmail.com</v>
      </c>
      <c r="C590" s="3">
        <v>222222.0</v>
      </c>
      <c r="D590" s="3" t="s">
        <v>8</v>
      </c>
      <c r="E590" s="3" t="s">
        <v>9</v>
      </c>
      <c r="F590" s="3" t="s">
        <v>10</v>
      </c>
    </row>
    <row r="591">
      <c r="A591" s="5" t="str">
        <f>IFERROR(__xludf.DUMMYFUNCTION("""COMPUTED_VALUE"""),"DBP02000589")</f>
        <v>DBP02000589</v>
      </c>
      <c r="B591" s="5" t="str">
        <f>IFERROR(__xludf.DUMMYFUNCTION("""COMPUTED_VALUE"""),"sunaryoreynaldi96@gmail.com")</f>
        <v>sunaryoreynaldi96@gmail.com</v>
      </c>
      <c r="C591" s="3">
        <v>222222.0</v>
      </c>
      <c r="D591" s="3" t="s">
        <v>8</v>
      </c>
      <c r="E591" s="3" t="s">
        <v>9</v>
      </c>
      <c r="F591" s="3" t="s">
        <v>10</v>
      </c>
    </row>
    <row r="592">
      <c r="A592" s="5" t="str">
        <f>IFERROR(__xludf.DUMMYFUNCTION("""COMPUTED_VALUE"""),"DBP02000590")</f>
        <v>DBP02000590</v>
      </c>
      <c r="B592" s="5" t="str">
        <f>IFERROR(__xludf.DUMMYFUNCTION("""COMPUTED_VALUE"""),"gabytindaon@gmail.com")</f>
        <v>gabytindaon@gmail.com</v>
      </c>
      <c r="C592" s="3">
        <v>222222.0</v>
      </c>
      <c r="D592" s="3" t="s">
        <v>8</v>
      </c>
      <c r="E592" s="3" t="s">
        <v>9</v>
      </c>
      <c r="F592" s="3" t="s">
        <v>10</v>
      </c>
    </row>
    <row r="593">
      <c r="A593" s="5" t="str">
        <f>IFERROR(__xludf.DUMMYFUNCTION("""COMPUTED_VALUE"""),"DBP02000591")</f>
        <v>DBP02000591</v>
      </c>
      <c r="B593" s="5" t="str">
        <f>IFERROR(__xludf.DUMMYFUNCTION("""COMPUTED_VALUE"""),"hildaidamaharani@gmail.com")</f>
        <v>hildaidamaharani@gmail.com</v>
      </c>
      <c r="C593" s="3">
        <v>222222.0</v>
      </c>
      <c r="D593" s="3" t="s">
        <v>8</v>
      </c>
      <c r="E593" s="3" t="s">
        <v>9</v>
      </c>
      <c r="F593" s="3" t="s">
        <v>10</v>
      </c>
    </row>
    <row r="594">
      <c r="A594" s="5" t="str">
        <f>IFERROR(__xludf.DUMMYFUNCTION("""COMPUTED_VALUE"""),"DBP02000592")</f>
        <v>DBP02000592</v>
      </c>
      <c r="B594" s="5" t="str">
        <f>IFERROR(__xludf.DUMMYFUNCTION("""COMPUTED_VALUE"""),"windaharviy@gmail.com")</f>
        <v>windaharviy@gmail.com</v>
      </c>
      <c r="C594" s="3">
        <v>222222.0</v>
      </c>
      <c r="D594" s="3" t="s">
        <v>8</v>
      </c>
      <c r="E594" s="3" t="s">
        <v>9</v>
      </c>
      <c r="F594" s="3" t="s">
        <v>10</v>
      </c>
    </row>
    <row r="595">
      <c r="A595" s="5" t="str">
        <f>IFERROR(__xludf.DUMMYFUNCTION("""COMPUTED_VALUE"""),"DBP02000593")</f>
        <v>DBP02000593</v>
      </c>
      <c r="B595" s="5" t="str">
        <f>IFERROR(__xludf.DUMMYFUNCTION("""COMPUTED_VALUE"""),"swaradxtyzs@gmail.com")</f>
        <v>swaradxtyzs@gmail.com</v>
      </c>
      <c r="C595" s="3">
        <v>222222.0</v>
      </c>
      <c r="D595" s="3" t="s">
        <v>8</v>
      </c>
      <c r="E595" s="3" t="s">
        <v>9</v>
      </c>
      <c r="F595" s="3" t="s">
        <v>10</v>
      </c>
    </row>
    <row r="596">
      <c r="A596" s="5" t="str">
        <f>IFERROR(__xludf.DUMMYFUNCTION("""COMPUTED_VALUE"""),"DBP02000594")</f>
        <v>DBP02000594</v>
      </c>
      <c r="B596" s="5" t="str">
        <f>IFERROR(__xludf.DUMMYFUNCTION("""COMPUTED_VALUE"""),"didipramono@mail.unnes.ac.id")</f>
        <v>didipramono@mail.unnes.ac.id</v>
      </c>
      <c r="C596" s="3">
        <v>222222.0</v>
      </c>
      <c r="D596" s="3" t="s">
        <v>8</v>
      </c>
      <c r="E596" s="3" t="s">
        <v>9</v>
      </c>
      <c r="F596" s="3" t="s">
        <v>10</v>
      </c>
    </row>
    <row r="597">
      <c r="A597" s="5" t="str">
        <f>IFERROR(__xludf.DUMMYFUNCTION("""COMPUTED_VALUE"""),"DBP02000595")</f>
        <v>DBP02000595</v>
      </c>
      <c r="B597" s="5" t="str">
        <f>IFERROR(__xludf.DUMMYFUNCTION("""COMPUTED_VALUE"""),"jesicalaurensia18@gmail.com")</f>
        <v>jesicalaurensia18@gmail.com</v>
      </c>
      <c r="C597" s="3">
        <v>222222.0</v>
      </c>
      <c r="D597" s="3" t="s">
        <v>8</v>
      </c>
      <c r="E597" s="3" t="s">
        <v>9</v>
      </c>
      <c r="F597" s="3" t="s">
        <v>10</v>
      </c>
    </row>
    <row r="598">
      <c r="A598" s="5" t="str">
        <f>IFERROR(__xludf.DUMMYFUNCTION("""COMPUTED_VALUE"""),"DBP02000596")</f>
        <v>DBP02000596</v>
      </c>
      <c r="B598" s="5" t="str">
        <f>IFERROR(__xludf.DUMMYFUNCTION("""COMPUTED_VALUE"""),"sadamahmadn11@gmail.com")</f>
        <v>sadamahmadn11@gmail.com</v>
      </c>
      <c r="C598" s="3">
        <v>222222.0</v>
      </c>
      <c r="D598" s="3" t="s">
        <v>8</v>
      </c>
      <c r="E598" s="3" t="s">
        <v>9</v>
      </c>
      <c r="F598" s="3" t="s">
        <v>10</v>
      </c>
    </row>
    <row r="599">
      <c r="A599" s="5" t="str">
        <f>IFERROR(__xludf.DUMMYFUNCTION("""COMPUTED_VALUE"""),"DBP02000597")</f>
        <v>DBP02000597</v>
      </c>
      <c r="B599" s="5" t="str">
        <f>IFERROR(__xludf.DUMMYFUNCTION("""COMPUTED_VALUE"""),"rickyfarrel04@gmail.com")</f>
        <v>rickyfarrel04@gmail.com</v>
      </c>
      <c r="C599" s="3">
        <v>222222.0</v>
      </c>
      <c r="D599" s="3" t="s">
        <v>8</v>
      </c>
      <c r="E599" s="3" t="s">
        <v>9</v>
      </c>
      <c r="F599" s="3" t="s">
        <v>10</v>
      </c>
    </row>
    <row r="600">
      <c r="A600" s="5" t="str">
        <f>IFERROR(__xludf.DUMMYFUNCTION("""COMPUTED_VALUE"""),"DBP02000598")</f>
        <v>DBP02000598</v>
      </c>
      <c r="B600" s="5" t="str">
        <f>IFERROR(__xludf.DUMMYFUNCTION("""COMPUTED_VALUE"""),"nuriamasruroh05@gmail.com")</f>
        <v>nuriamasruroh05@gmail.com</v>
      </c>
      <c r="C600" s="3">
        <v>222222.0</v>
      </c>
      <c r="D600" s="3" t="s">
        <v>8</v>
      </c>
      <c r="E600" s="3" t="s">
        <v>9</v>
      </c>
      <c r="F600" s="3" t="s">
        <v>10</v>
      </c>
    </row>
    <row r="601">
      <c r="A601" s="5" t="str">
        <f>IFERROR(__xludf.DUMMYFUNCTION("""COMPUTED_VALUE"""),"DBP02000599")</f>
        <v>DBP02000599</v>
      </c>
      <c r="B601" s="5" t="str">
        <f>IFERROR(__xludf.DUMMYFUNCTION("""COMPUTED_VALUE"""),"angelti1945@gmail.com")</f>
        <v>angelti1945@gmail.com</v>
      </c>
      <c r="C601" s="3">
        <v>222222.0</v>
      </c>
      <c r="D601" s="3" t="s">
        <v>8</v>
      </c>
      <c r="E601" s="3" t="s">
        <v>9</v>
      </c>
      <c r="F601" s="3" t="s">
        <v>10</v>
      </c>
    </row>
    <row r="602">
      <c r="A602" s="5" t="str">
        <f>IFERROR(__xludf.DUMMYFUNCTION("""COMPUTED_VALUE"""),"DBP02000600")</f>
        <v>DBP02000600</v>
      </c>
      <c r="B602" s="5" t="str">
        <f>IFERROR(__xludf.DUMMYFUNCTION("""COMPUTED_VALUE"""),"dewafia96@gmail.com")</f>
        <v>dewafia96@gmail.com</v>
      </c>
      <c r="C602" s="3">
        <v>222222.0</v>
      </c>
      <c r="D602" s="3" t="s">
        <v>8</v>
      </c>
      <c r="E602" s="3" t="s">
        <v>9</v>
      </c>
      <c r="F602" s="3" t="s">
        <v>10</v>
      </c>
    </row>
    <row r="603">
      <c r="A603" s="5" t="str">
        <f>IFERROR(__xludf.DUMMYFUNCTION("""COMPUTED_VALUE"""),"DBP02000601")</f>
        <v>DBP02000601</v>
      </c>
      <c r="B603" s="5" t="str">
        <f>IFERROR(__xludf.DUMMYFUNCTION("""COMPUTED_VALUE"""),"gracehipgra0408@gmail.com")</f>
        <v>gracehipgra0408@gmail.com</v>
      </c>
      <c r="C603" s="3">
        <v>222222.0</v>
      </c>
      <c r="D603" s="3" t="s">
        <v>8</v>
      </c>
      <c r="E603" s="3" t="s">
        <v>9</v>
      </c>
      <c r="F603" s="3" t="s">
        <v>10</v>
      </c>
    </row>
    <row r="604">
      <c r="A604" s="5" t="str">
        <f>IFERROR(__xludf.DUMMYFUNCTION("""COMPUTED_VALUE"""),"DBP02000602")</f>
        <v>DBP02000602</v>
      </c>
      <c r="B604" s="5" t="str">
        <f>IFERROR(__xludf.DUMMYFUNCTION("""COMPUTED_VALUE"""),"kadekkorita@gmail.com")</f>
        <v>kadekkorita@gmail.com</v>
      </c>
      <c r="C604" s="3">
        <v>222222.0</v>
      </c>
      <c r="D604" s="3" t="s">
        <v>8</v>
      </c>
      <c r="E604" s="3" t="s">
        <v>9</v>
      </c>
      <c r="F604" s="3" t="s">
        <v>10</v>
      </c>
    </row>
    <row r="605">
      <c r="A605" s="5" t="str">
        <f>IFERROR(__xludf.DUMMYFUNCTION("""COMPUTED_VALUE"""),"DBP02000603")</f>
        <v>DBP02000603</v>
      </c>
      <c r="B605" s="5" t="str">
        <f>IFERROR(__xludf.DUMMYFUNCTION("""COMPUTED_VALUE"""),"noverandoverdo123@gmail.com")</f>
        <v>noverandoverdo123@gmail.com</v>
      </c>
      <c r="C605" s="3">
        <v>222222.0</v>
      </c>
      <c r="D605" s="3" t="s">
        <v>8</v>
      </c>
      <c r="E605" s="3" t="s">
        <v>9</v>
      </c>
      <c r="F605" s="3" t="s">
        <v>10</v>
      </c>
    </row>
    <row r="606">
      <c r="A606" s="5" t="str">
        <f>IFERROR(__xludf.DUMMYFUNCTION("""COMPUTED_VALUE"""),"DBP02000604")</f>
        <v>DBP02000604</v>
      </c>
      <c r="B606" s="5" t="str">
        <f>IFERROR(__xludf.DUMMYFUNCTION("""COMPUTED_VALUE"""),"sholehatulmokharomah@gmail.com")</f>
        <v>sholehatulmokharomah@gmail.com</v>
      </c>
      <c r="C606" s="3">
        <v>222222.0</v>
      </c>
      <c r="D606" s="3" t="s">
        <v>8</v>
      </c>
      <c r="E606" s="3" t="s">
        <v>9</v>
      </c>
      <c r="F606" s="3" t="s">
        <v>10</v>
      </c>
    </row>
    <row r="607">
      <c r="A607" s="5" t="str">
        <f>IFERROR(__xludf.DUMMYFUNCTION("""COMPUTED_VALUE"""),"DBP02000605")</f>
        <v>DBP02000605</v>
      </c>
      <c r="B607" s="5" t="str">
        <f>IFERROR(__xludf.DUMMYFUNCTION("""COMPUTED_VALUE"""),"josephinekrstiana@gmail.com")</f>
        <v>josephinekrstiana@gmail.com</v>
      </c>
      <c r="C607" s="3">
        <v>222222.0</v>
      </c>
      <c r="D607" s="3" t="s">
        <v>8</v>
      </c>
      <c r="E607" s="3" t="s">
        <v>9</v>
      </c>
      <c r="F607" s="3" t="s">
        <v>10</v>
      </c>
    </row>
    <row r="608">
      <c r="A608" s="5" t="str">
        <f>IFERROR(__xludf.DUMMYFUNCTION("""COMPUTED_VALUE"""),"DBP02000606")</f>
        <v>DBP02000606</v>
      </c>
      <c r="B608" s="5" t="str">
        <f>IFERROR(__xludf.DUMMYFUNCTION("""COMPUTED_VALUE"""),"biancabunga28@gmail.com")</f>
        <v>biancabunga28@gmail.com</v>
      </c>
      <c r="C608" s="3">
        <v>222222.0</v>
      </c>
      <c r="D608" s="3" t="s">
        <v>8</v>
      </c>
      <c r="E608" s="3" t="s">
        <v>9</v>
      </c>
      <c r="F608" s="3" t="s">
        <v>10</v>
      </c>
    </row>
    <row r="609">
      <c r="A609" s="5" t="str">
        <f>IFERROR(__xludf.DUMMYFUNCTION("""COMPUTED_VALUE"""),"DBP02000607")</f>
        <v>DBP02000607</v>
      </c>
      <c r="B609" s="5" t="str">
        <f>IFERROR(__xludf.DUMMYFUNCTION("""COMPUTED_VALUE"""),"naufalhamdani@gmail.com")</f>
        <v>naufalhamdani@gmail.com</v>
      </c>
      <c r="C609" s="3">
        <v>222222.0</v>
      </c>
      <c r="D609" s="3" t="s">
        <v>8</v>
      </c>
      <c r="E609" s="3" t="s">
        <v>9</v>
      </c>
      <c r="F609" s="3" t="s">
        <v>10</v>
      </c>
    </row>
    <row r="610">
      <c r="A610" s="5" t="str">
        <f>IFERROR(__xludf.DUMMYFUNCTION("""COMPUTED_VALUE"""),"DBP02000608")</f>
        <v>DBP02000608</v>
      </c>
      <c r="B610" s="5" t="str">
        <f>IFERROR(__xludf.DUMMYFUNCTION("""COMPUTED_VALUE"""),"21044000020@student.unmer.ac.id")</f>
        <v>21044000020@student.unmer.ac.id</v>
      </c>
      <c r="C610" s="3">
        <v>222222.0</v>
      </c>
      <c r="D610" s="3" t="s">
        <v>8</v>
      </c>
      <c r="E610" s="3" t="s">
        <v>9</v>
      </c>
      <c r="F610" s="3" t="s">
        <v>10</v>
      </c>
    </row>
    <row r="611">
      <c r="A611" s="5" t="str">
        <f>IFERROR(__xludf.DUMMYFUNCTION("""COMPUTED_VALUE"""),"DBP02000609")</f>
        <v>DBP02000609</v>
      </c>
      <c r="B611" s="5" t="str">
        <f>IFERROR(__xludf.DUMMYFUNCTION("""COMPUTED_VALUE"""),"fransiskaprodite@gmail.com")</f>
        <v>fransiskaprodite@gmail.com</v>
      </c>
      <c r="C611" s="3">
        <v>222222.0</v>
      </c>
      <c r="D611" s="3" t="s">
        <v>8</v>
      </c>
      <c r="E611" s="3" t="s">
        <v>9</v>
      </c>
      <c r="F611" s="3" t="s">
        <v>10</v>
      </c>
    </row>
    <row r="612">
      <c r="A612" s="5" t="str">
        <f>IFERROR(__xludf.DUMMYFUNCTION("""COMPUTED_VALUE"""),"DBP02000610")</f>
        <v>DBP02000610</v>
      </c>
      <c r="B612" s="5" t="str">
        <f>IFERROR(__xludf.DUMMYFUNCTION("""COMPUTED_VALUE"""),"arilaz322@gmail.com")</f>
        <v>arilaz322@gmail.com</v>
      </c>
      <c r="C612" s="3">
        <v>222222.0</v>
      </c>
      <c r="D612" s="3" t="s">
        <v>8</v>
      </c>
      <c r="E612" s="3" t="s">
        <v>9</v>
      </c>
      <c r="F612" s="3" t="s">
        <v>10</v>
      </c>
    </row>
    <row r="613">
      <c r="A613" s="5" t="str">
        <f>IFERROR(__xludf.DUMMYFUNCTION("""COMPUTED_VALUE"""),"DBP02000611")</f>
        <v>DBP02000611</v>
      </c>
      <c r="B613" s="5" t="str">
        <f>IFERROR(__xludf.DUMMYFUNCTION("""COMPUTED_VALUE"""),"solehhuda1922@gmail.com")</f>
        <v>solehhuda1922@gmail.com</v>
      </c>
      <c r="C613" s="3">
        <v>222222.0</v>
      </c>
      <c r="D613" s="3" t="s">
        <v>8</v>
      </c>
      <c r="E613" s="3" t="s">
        <v>9</v>
      </c>
      <c r="F613" s="3" t="s">
        <v>10</v>
      </c>
    </row>
    <row r="614">
      <c r="A614" s="5" t="str">
        <f>IFERROR(__xludf.DUMMYFUNCTION("""COMPUTED_VALUE"""),"DBP02000612")</f>
        <v>DBP02000612</v>
      </c>
      <c r="B614" s="5" t="str">
        <f>IFERROR(__xludf.DUMMYFUNCTION("""COMPUTED_VALUE"""),"mutiara.saniinayah@gmail.com")</f>
        <v>mutiara.saniinayah@gmail.com</v>
      </c>
      <c r="C614" s="3">
        <v>222222.0</v>
      </c>
      <c r="D614" s="3" t="s">
        <v>8</v>
      </c>
      <c r="E614" s="3" t="s">
        <v>9</v>
      </c>
      <c r="F614" s="3" t="s">
        <v>10</v>
      </c>
    </row>
    <row r="615">
      <c r="A615" s="5" t="str">
        <f>IFERROR(__xludf.DUMMYFUNCTION("""COMPUTED_VALUE"""),"DBP02000613")</f>
        <v>DBP02000613</v>
      </c>
      <c r="B615" s="5" t="str">
        <f>IFERROR(__xludf.DUMMYFUNCTION("""COMPUTED_VALUE"""),"fransiscavictory169@gmail.com")</f>
        <v>fransiscavictory169@gmail.com</v>
      </c>
      <c r="C615" s="3">
        <v>222222.0</v>
      </c>
      <c r="D615" s="3" t="s">
        <v>8</v>
      </c>
      <c r="E615" s="3" t="s">
        <v>9</v>
      </c>
      <c r="F615" s="3" t="s">
        <v>10</v>
      </c>
    </row>
    <row r="616">
      <c r="A616" s="5" t="str">
        <f>IFERROR(__xludf.DUMMYFUNCTION("""COMPUTED_VALUE"""),"DBP02000614")</f>
        <v>DBP02000614</v>
      </c>
      <c r="B616" s="5" t="str">
        <f>IFERROR(__xludf.DUMMYFUNCTION("""COMPUTED_VALUE"""),"arinimp18@gmail.com")</f>
        <v>arinimp18@gmail.com</v>
      </c>
      <c r="C616" s="3">
        <v>222222.0</v>
      </c>
      <c r="D616" s="3" t="s">
        <v>8</v>
      </c>
      <c r="E616" s="3" t="s">
        <v>9</v>
      </c>
      <c r="F616" s="3" t="s">
        <v>10</v>
      </c>
    </row>
    <row r="617">
      <c r="A617" s="5" t="str">
        <f>IFERROR(__xludf.DUMMYFUNCTION("""COMPUTED_VALUE"""),"DBP02000615")</f>
        <v>DBP02000615</v>
      </c>
      <c r="B617" s="5" t="str">
        <f>IFERROR(__xludf.DUMMYFUNCTION("""COMPUTED_VALUE"""),"cnsavira@gmail.com")</f>
        <v>cnsavira@gmail.com</v>
      </c>
      <c r="C617" s="3">
        <v>222222.0</v>
      </c>
      <c r="D617" s="3" t="s">
        <v>8</v>
      </c>
      <c r="E617" s="3" t="s">
        <v>9</v>
      </c>
      <c r="F617" s="3" t="s">
        <v>10</v>
      </c>
    </row>
    <row r="618">
      <c r="A618" s="5" t="str">
        <f>IFERROR(__xludf.DUMMYFUNCTION("""COMPUTED_VALUE"""),"DBP02000616")</f>
        <v>DBP02000616</v>
      </c>
      <c r="B618" s="5" t="str">
        <f>IFERROR(__xludf.DUMMYFUNCTION("""COMPUTED_VALUE"""),"atrasfarizi02@gmail.com")</f>
        <v>atrasfarizi02@gmail.com</v>
      </c>
      <c r="C618" s="3">
        <v>222222.0</v>
      </c>
      <c r="D618" s="3" t="s">
        <v>8</v>
      </c>
      <c r="E618" s="3" t="s">
        <v>9</v>
      </c>
      <c r="F618" s="3" t="s">
        <v>10</v>
      </c>
    </row>
    <row r="619">
      <c r="A619" s="5" t="str">
        <f>IFERROR(__xludf.DUMMYFUNCTION("""COMPUTED_VALUE"""),"DBP02000617")</f>
        <v>DBP02000617</v>
      </c>
      <c r="B619" s="5" t="str">
        <f>IFERROR(__xludf.DUMMYFUNCTION("""COMPUTED_VALUE"""),"joylauraangelica29@gmail.com")</f>
        <v>joylauraangelica29@gmail.com</v>
      </c>
      <c r="C619" s="3">
        <v>222222.0</v>
      </c>
      <c r="D619" s="3" t="s">
        <v>8</v>
      </c>
      <c r="E619" s="3" t="s">
        <v>9</v>
      </c>
      <c r="F619" s="3" t="s">
        <v>10</v>
      </c>
    </row>
    <row r="620">
      <c r="A620" s="5" t="str">
        <f>IFERROR(__xludf.DUMMYFUNCTION("""COMPUTED_VALUE"""),"DBP02000618")</f>
        <v>DBP02000618</v>
      </c>
      <c r="B620" s="5" t="str">
        <f>IFERROR(__xludf.DUMMYFUNCTION("""COMPUTED_VALUE"""),"natashyachu28@gmail.com")</f>
        <v>natashyachu28@gmail.com</v>
      </c>
      <c r="C620" s="3">
        <v>222222.0</v>
      </c>
      <c r="D620" s="3" t="s">
        <v>8</v>
      </c>
      <c r="E620" s="3" t="s">
        <v>9</v>
      </c>
      <c r="F620" s="3" t="s">
        <v>10</v>
      </c>
    </row>
    <row r="621">
      <c r="A621" s="5" t="str">
        <f>IFERROR(__xludf.DUMMYFUNCTION("""COMPUTED_VALUE"""),"DBP02000619")</f>
        <v>DBP02000619</v>
      </c>
      <c r="B621" s="5" t="str">
        <f>IFERROR(__xludf.DUMMYFUNCTION("""COMPUTED_VALUE"""),"faishalahmadarbi@gmail.com")</f>
        <v>faishalahmadarbi@gmail.com</v>
      </c>
      <c r="C621" s="3">
        <v>222222.0</v>
      </c>
      <c r="D621" s="3" t="s">
        <v>8</v>
      </c>
      <c r="E621" s="3" t="s">
        <v>9</v>
      </c>
      <c r="F621" s="3" t="s">
        <v>10</v>
      </c>
    </row>
    <row r="622">
      <c r="A622" s="5" t="str">
        <f>IFERROR(__xludf.DUMMYFUNCTION("""COMPUTED_VALUE"""),"DBP02000620")</f>
        <v>DBP02000620</v>
      </c>
      <c r="B622" s="5" t="str">
        <f>IFERROR(__xludf.DUMMYFUNCTION("""COMPUTED_VALUE"""),"divawijaya27@gmail.com")</f>
        <v>divawijaya27@gmail.com</v>
      </c>
      <c r="C622" s="3">
        <v>222222.0</v>
      </c>
      <c r="D622" s="3" t="s">
        <v>8</v>
      </c>
      <c r="E622" s="3" t="s">
        <v>9</v>
      </c>
      <c r="F622" s="3" t="s">
        <v>10</v>
      </c>
    </row>
    <row r="623">
      <c r="A623" s="5" t="str">
        <f>IFERROR(__xludf.DUMMYFUNCTION("""COMPUTED_VALUE"""),"DBP02000621")</f>
        <v>DBP02000621</v>
      </c>
      <c r="B623" s="5" t="str">
        <f>IFERROR(__xludf.DUMMYFUNCTION("""COMPUTED_VALUE"""),"ryanda.adiguna@gmail.com")</f>
        <v>ryanda.adiguna@gmail.com</v>
      </c>
      <c r="C623" s="3">
        <v>222222.0</v>
      </c>
      <c r="D623" s="3" t="s">
        <v>8</v>
      </c>
      <c r="E623" s="3" t="s">
        <v>9</v>
      </c>
      <c r="F623" s="3" t="s">
        <v>10</v>
      </c>
    </row>
    <row r="624">
      <c r="A624" s="5" t="str">
        <f>IFERROR(__xludf.DUMMYFUNCTION("""COMPUTED_VALUE"""),"DBP02000622")</f>
        <v>DBP02000622</v>
      </c>
      <c r="B624" s="5" t="str">
        <f>IFERROR(__xludf.DUMMYFUNCTION("""COMPUTED_VALUE"""),"nyundiagfa@gmail.com")</f>
        <v>nyundiagfa@gmail.com</v>
      </c>
      <c r="C624" s="3">
        <v>222222.0</v>
      </c>
      <c r="D624" s="3" t="s">
        <v>8</v>
      </c>
      <c r="E624" s="3" t="s">
        <v>9</v>
      </c>
      <c r="F624" s="3" t="s">
        <v>10</v>
      </c>
    </row>
    <row r="625">
      <c r="A625" s="5" t="str">
        <f>IFERROR(__xludf.DUMMYFUNCTION("""COMPUTED_VALUE"""),"DBP02000623")</f>
        <v>DBP02000623</v>
      </c>
      <c r="B625" s="5" t="str">
        <f>IFERROR(__xludf.DUMMYFUNCTION("""COMPUTED_VALUE"""),"alfinadella1152@gmail.com")</f>
        <v>alfinadella1152@gmail.com</v>
      </c>
      <c r="C625" s="3">
        <v>222222.0</v>
      </c>
      <c r="D625" s="3" t="s">
        <v>8</v>
      </c>
      <c r="E625" s="3" t="s">
        <v>9</v>
      </c>
      <c r="F625" s="3" t="s">
        <v>10</v>
      </c>
    </row>
    <row r="626">
      <c r="A626" s="5" t="str">
        <f>IFERROR(__xludf.DUMMYFUNCTION("""COMPUTED_VALUE"""),"DBP02000624")</f>
        <v>DBP02000624</v>
      </c>
      <c r="B626" s="5" t="str">
        <f>IFERROR(__xludf.DUMMYFUNCTION("""COMPUTED_VALUE"""),"fitra.nurindra@gmail.com")</f>
        <v>fitra.nurindra@gmail.com</v>
      </c>
      <c r="C626" s="3">
        <v>222222.0</v>
      </c>
      <c r="D626" s="3" t="s">
        <v>8</v>
      </c>
      <c r="E626" s="3" t="s">
        <v>9</v>
      </c>
      <c r="F626" s="3" t="s">
        <v>10</v>
      </c>
    </row>
    <row r="627">
      <c r="A627" s="5" t="str">
        <f>IFERROR(__xludf.DUMMYFUNCTION("""COMPUTED_VALUE"""),"DBP02000625")</f>
        <v>DBP02000625</v>
      </c>
      <c r="B627" s="5" t="str">
        <f>IFERROR(__xludf.DUMMYFUNCTION("""COMPUTED_VALUE"""),"dimasbayhaqqi@gmail.com")</f>
        <v>dimasbayhaqqi@gmail.com</v>
      </c>
      <c r="C627" s="3">
        <v>222222.0</v>
      </c>
      <c r="D627" s="3" t="s">
        <v>8</v>
      </c>
      <c r="E627" s="3" t="s">
        <v>9</v>
      </c>
      <c r="F627" s="3" t="s">
        <v>10</v>
      </c>
    </row>
    <row r="628">
      <c r="A628" s="5" t="str">
        <f>IFERROR(__xludf.DUMMYFUNCTION("""COMPUTED_VALUE"""),"DBP02000626")</f>
        <v>DBP02000626</v>
      </c>
      <c r="B628" s="5" t="str">
        <f>IFERROR(__xludf.DUMMYFUNCTION("""COMPUTED_VALUE"""),"andikadwiparana@gmail.com")</f>
        <v>andikadwiparana@gmail.com</v>
      </c>
      <c r="C628" s="3">
        <v>222222.0</v>
      </c>
      <c r="D628" s="3" t="s">
        <v>8</v>
      </c>
      <c r="E628" s="3" t="s">
        <v>9</v>
      </c>
      <c r="F628" s="3" t="s">
        <v>10</v>
      </c>
    </row>
    <row r="629">
      <c r="A629" s="5" t="str">
        <f>IFERROR(__xludf.DUMMYFUNCTION("""COMPUTED_VALUE"""),"DBP02000627")</f>
        <v>DBP02000627</v>
      </c>
      <c r="B629" s="5" t="str">
        <f>IFERROR(__xludf.DUMMYFUNCTION("""COMPUTED_VALUE"""),"friscaimanuel7803@gmail.com")</f>
        <v>friscaimanuel7803@gmail.com</v>
      </c>
      <c r="C629" s="3">
        <v>222222.0</v>
      </c>
      <c r="D629" s="3" t="s">
        <v>8</v>
      </c>
      <c r="E629" s="3" t="s">
        <v>9</v>
      </c>
      <c r="F629" s="3" t="s">
        <v>10</v>
      </c>
    </row>
    <row r="630">
      <c r="A630" s="5" t="str">
        <f>IFERROR(__xludf.DUMMYFUNCTION("""COMPUTED_VALUE"""),"DBP02000628")</f>
        <v>DBP02000628</v>
      </c>
      <c r="B630" s="5" t="str">
        <f>IFERROR(__xludf.DUMMYFUNCTION("""COMPUTED_VALUE"""),"kevinmusak2205@gmail.com")</f>
        <v>kevinmusak2205@gmail.com</v>
      </c>
      <c r="C630" s="3">
        <v>222222.0</v>
      </c>
      <c r="D630" s="3" t="s">
        <v>8</v>
      </c>
      <c r="E630" s="3" t="s">
        <v>9</v>
      </c>
      <c r="F630" s="3" t="s">
        <v>10</v>
      </c>
    </row>
    <row r="631">
      <c r="A631" s="5" t="str">
        <f>IFERROR(__xludf.DUMMYFUNCTION("""COMPUTED_VALUE"""),"DBP02000629")</f>
        <v>DBP02000629</v>
      </c>
      <c r="B631" s="5" t="str">
        <f>IFERROR(__xludf.DUMMYFUNCTION("""COMPUTED_VALUE"""),"rkiranasanda@gmail.com")</f>
        <v>rkiranasanda@gmail.com</v>
      </c>
      <c r="C631" s="3">
        <v>222222.0</v>
      </c>
      <c r="D631" s="3" t="s">
        <v>8</v>
      </c>
      <c r="E631" s="3" t="s">
        <v>9</v>
      </c>
      <c r="F631" s="3" t="s">
        <v>10</v>
      </c>
    </row>
    <row r="632">
      <c r="A632" s="5" t="str">
        <f>IFERROR(__xludf.DUMMYFUNCTION("""COMPUTED_VALUE"""),"DBP02000630")</f>
        <v>DBP02000630</v>
      </c>
      <c r="B632" s="5" t="str">
        <f>IFERROR(__xludf.DUMMYFUNCTION("""COMPUTED_VALUE"""),"alifiaainurr9@gmail.com")</f>
        <v>alifiaainurr9@gmail.com</v>
      </c>
      <c r="C632" s="3">
        <v>222222.0</v>
      </c>
      <c r="D632" s="3" t="s">
        <v>8</v>
      </c>
      <c r="E632" s="3" t="s">
        <v>9</v>
      </c>
      <c r="F632" s="3" t="s">
        <v>10</v>
      </c>
    </row>
    <row r="633">
      <c r="A633" s="5" t="str">
        <f>IFERROR(__xludf.DUMMYFUNCTION("""COMPUTED_VALUE"""),"DBP02000631")</f>
        <v>DBP02000631</v>
      </c>
      <c r="B633" s="5" t="str">
        <f>IFERROR(__xludf.DUMMYFUNCTION("""COMPUTED_VALUE"""),"nadira892@gmail.com")</f>
        <v>nadira892@gmail.com</v>
      </c>
      <c r="C633" s="3">
        <v>222222.0</v>
      </c>
      <c r="D633" s="3" t="s">
        <v>8</v>
      </c>
      <c r="E633" s="3" t="s">
        <v>9</v>
      </c>
      <c r="F633" s="3" t="s">
        <v>10</v>
      </c>
    </row>
    <row r="634">
      <c r="A634" s="5" t="str">
        <f>IFERROR(__xludf.DUMMYFUNCTION("""COMPUTED_VALUE"""),"DBP02000632")</f>
        <v>DBP02000632</v>
      </c>
      <c r="B634" s="5" t="str">
        <f>IFERROR(__xludf.DUMMYFUNCTION("""COMPUTED_VALUE"""),"shanniechung@gmail.com")</f>
        <v>shanniechung@gmail.com</v>
      </c>
      <c r="C634" s="3">
        <v>222222.0</v>
      </c>
      <c r="D634" s="3" t="s">
        <v>8</v>
      </c>
      <c r="E634" s="3" t="s">
        <v>9</v>
      </c>
      <c r="F634" s="3" t="s">
        <v>10</v>
      </c>
    </row>
    <row r="635">
      <c r="A635" s="5" t="str">
        <f>IFERROR(__xludf.DUMMYFUNCTION("""COMPUTED_VALUE"""),"DBP02000633")</f>
        <v>DBP02000633</v>
      </c>
      <c r="B635" s="5" t="str">
        <f>IFERROR(__xludf.DUMMYFUNCTION("""COMPUTED_VALUE"""),"gyubastian@gmail.com")</f>
        <v>gyubastian@gmail.com</v>
      </c>
      <c r="C635" s="3">
        <v>222222.0</v>
      </c>
      <c r="D635" s="3" t="s">
        <v>8</v>
      </c>
      <c r="E635" s="3" t="s">
        <v>9</v>
      </c>
      <c r="F635" s="3" t="s">
        <v>10</v>
      </c>
    </row>
    <row r="636">
      <c r="A636" s="5" t="str">
        <f>IFERROR(__xludf.DUMMYFUNCTION("""COMPUTED_VALUE"""),"DBP02000634")</f>
        <v>DBP02000634</v>
      </c>
      <c r="B636" s="5" t="str">
        <f>IFERROR(__xludf.DUMMYFUNCTION("""COMPUTED_VALUE"""),"adelynmichele@gmail.com")</f>
        <v>adelynmichele@gmail.com</v>
      </c>
      <c r="C636" s="3">
        <v>222222.0</v>
      </c>
      <c r="D636" s="3" t="s">
        <v>8</v>
      </c>
      <c r="E636" s="3" t="s">
        <v>9</v>
      </c>
      <c r="F636" s="3" t="s">
        <v>10</v>
      </c>
    </row>
    <row r="637">
      <c r="A637" s="5" t="str">
        <f>IFERROR(__xludf.DUMMYFUNCTION("""COMPUTED_VALUE"""),"DBP02000635")</f>
        <v>DBP02000635</v>
      </c>
      <c r="B637" s="5" t="str">
        <f>IFERROR(__xludf.DUMMYFUNCTION("""COMPUTED_VALUE"""),"muhammadapriasandi@gmail.com")</f>
        <v>muhammadapriasandi@gmail.com</v>
      </c>
      <c r="C637" s="3">
        <v>222222.0</v>
      </c>
      <c r="D637" s="3" t="s">
        <v>8</v>
      </c>
      <c r="E637" s="3" t="s">
        <v>9</v>
      </c>
      <c r="F637" s="3" t="s">
        <v>10</v>
      </c>
    </row>
    <row r="638">
      <c r="A638" s="5" t="str">
        <f>IFERROR(__xludf.DUMMYFUNCTION("""COMPUTED_VALUE"""),"DBP02000636")</f>
        <v>DBP02000636</v>
      </c>
      <c r="B638" s="5" t="str">
        <f>IFERROR(__xludf.DUMMYFUNCTION("""COMPUTED_VALUE"""),"togicandra@gmail.com")</f>
        <v>togicandra@gmail.com</v>
      </c>
      <c r="C638" s="3">
        <v>222222.0</v>
      </c>
      <c r="D638" s="3" t="s">
        <v>8</v>
      </c>
      <c r="E638" s="3" t="s">
        <v>9</v>
      </c>
      <c r="F638" s="3" t="s">
        <v>10</v>
      </c>
    </row>
    <row r="639">
      <c r="A639" s="5" t="str">
        <f>IFERROR(__xludf.DUMMYFUNCTION("""COMPUTED_VALUE"""),"DBP02000637")</f>
        <v>DBP02000637</v>
      </c>
      <c r="B639" s="5" t="str">
        <f>IFERROR(__xludf.DUMMYFUNCTION("""COMPUTED_VALUE"""),"natasyaistiqomahrizkyadli@gmail.com")</f>
        <v>natasyaistiqomahrizkyadli@gmail.com</v>
      </c>
      <c r="C639" s="3">
        <v>222222.0</v>
      </c>
      <c r="D639" s="3" t="s">
        <v>8</v>
      </c>
      <c r="E639" s="3" t="s">
        <v>9</v>
      </c>
      <c r="F639" s="3" t="s">
        <v>10</v>
      </c>
    </row>
    <row r="640">
      <c r="A640" s="5" t="str">
        <f>IFERROR(__xludf.DUMMYFUNCTION("""COMPUTED_VALUE"""),"DBP02000638")</f>
        <v>DBP02000638</v>
      </c>
      <c r="B640" s="5" t="str">
        <f>IFERROR(__xludf.DUMMYFUNCTION("""COMPUTED_VALUE"""),"tsamarapanda@gmail.com")</f>
        <v>tsamarapanda@gmail.com</v>
      </c>
      <c r="C640" s="3">
        <v>222222.0</v>
      </c>
      <c r="D640" s="3" t="s">
        <v>8</v>
      </c>
      <c r="E640" s="3" t="s">
        <v>9</v>
      </c>
      <c r="F640" s="3" t="s">
        <v>10</v>
      </c>
    </row>
    <row r="641">
      <c r="A641" s="5" t="str">
        <f>IFERROR(__xludf.DUMMYFUNCTION("""COMPUTED_VALUE"""),"DBP02000639")</f>
        <v>DBP02000639</v>
      </c>
      <c r="B641" s="5" t="str">
        <f>IFERROR(__xludf.DUMMYFUNCTION("""COMPUTED_VALUE"""),"afbrillianti@gmail.com")</f>
        <v>afbrillianti@gmail.com</v>
      </c>
      <c r="C641" s="3">
        <v>222222.0</v>
      </c>
      <c r="D641" s="3" t="s">
        <v>8</v>
      </c>
      <c r="E641" s="3" t="s">
        <v>9</v>
      </c>
      <c r="F641" s="3" t="s">
        <v>10</v>
      </c>
    </row>
    <row r="642">
      <c r="A642" s="5" t="str">
        <f>IFERROR(__xludf.DUMMYFUNCTION("""COMPUTED_VALUE"""),"DBP02000640")</f>
        <v>DBP02000640</v>
      </c>
      <c r="B642" s="5" t="str">
        <f>IFERROR(__xludf.DUMMYFUNCTION("""COMPUTED_VALUE"""),"diyu.mantari11@gmail.com")</f>
        <v>diyu.mantari11@gmail.com</v>
      </c>
      <c r="C642" s="3">
        <v>222222.0</v>
      </c>
      <c r="D642" s="3" t="s">
        <v>8</v>
      </c>
      <c r="E642" s="3" t="s">
        <v>9</v>
      </c>
      <c r="F642" s="3" t="s">
        <v>10</v>
      </c>
    </row>
    <row r="643">
      <c r="A643" s="5" t="str">
        <f>IFERROR(__xludf.DUMMYFUNCTION("""COMPUTED_VALUE"""),"DBP02000641")</f>
        <v>DBP02000641</v>
      </c>
      <c r="B643" s="5" t="str">
        <f>IFERROR(__xludf.DUMMYFUNCTION("""COMPUTED_VALUE"""),"adjiejoyo@gmail.com")</f>
        <v>adjiejoyo@gmail.com</v>
      </c>
      <c r="C643" s="3">
        <v>222222.0</v>
      </c>
      <c r="D643" s="3" t="s">
        <v>8</v>
      </c>
      <c r="E643" s="3" t="s">
        <v>9</v>
      </c>
      <c r="F643" s="3" t="s">
        <v>10</v>
      </c>
    </row>
    <row r="644">
      <c r="A644" s="5" t="str">
        <f>IFERROR(__xludf.DUMMYFUNCTION("""COMPUTED_VALUE"""),"DBP02000642")</f>
        <v>DBP02000642</v>
      </c>
      <c r="B644" s="5" t="str">
        <f>IFERROR(__xludf.DUMMYFUNCTION("""COMPUTED_VALUE"""),"ridhom1945@gmail.com")</f>
        <v>ridhom1945@gmail.com</v>
      </c>
      <c r="C644" s="3">
        <v>222222.0</v>
      </c>
      <c r="D644" s="3" t="s">
        <v>8</v>
      </c>
      <c r="E644" s="3" t="s">
        <v>9</v>
      </c>
      <c r="F644" s="3" t="s">
        <v>10</v>
      </c>
    </row>
    <row r="645">
      <c r="A645" s="5" t="str">
        <f>IFERROR(__xludf.DUMMYFUNCTION("""COMPUTED_VALUE"""),"DBP02000643")</f>
        <v>DBP02000643</v>
      </c>
      <c r="B645" s="5" t="str">
        <f>IFERROR(__xludf.DUMMYFUNCTION("""COMPUTED_VALUE"""),"iewancoy@gmail.com")</f>
        <v>iewancoy@gmail.com</v>
      </c>
      <c r="C645" s="3">
        <v>222222.0</v>
      </c>
      <c r="D645" s="3" t="s">
        <v>8</v>
      </c>
      <c r="E645" s="3" t="s">
        <v>9</v>
      </c>
      <c r="F645" s="3" t="s">
        <v>10</v>
      </c>
    </row>
    <row r="646">
      <c r="A646" s="5" t="str">
        <f>IFERROR(__xludf.DUMMYFUNCTION("""COMPUTED_VALUE"""),"DBP02000644")</f>
        <v>DBP02000644</v>
      </c>
      <c r="B646" s="5" t="str">
        <f>IFERROR(__xludf.DUMMYFUNCTION("""COMPUTED_VALUE"""),"theresiaputrig@gmail.com")</f>
        <v>theresiaputrig@gmail.com</v>
      </c>
      <c r="C646" s="3">
        <v>222222.0</v>
      </c>
      <c r="D646" s="3" t="s">
        <v>8</v>
      </c>
      <c r="E646" s="3" t="s">
        <v>9</v>
      </c>
      <c r="F646" s="3" t="s">
        <v>10</v>
      </c>
    </row>
    <row r="647">
      <c r="A647" s="5" t="str">
        <f>IFERROR(__xludf.DUMMYFUNCTION("""COMPUTED_VALUE"""),"DBP02000645")</f>
        <v>DBP02000645</v>
      </c>
      <c r="B647" s="5" t="str">
        <f>IFERROR(__xludf.DUMMYFUNCTION("""COMPUTED_VALUE"""),"ellianohasatu3@gmail.com")</f>
        <v>ellianohasatu3@gmail.com</v>
      </c>
      <c r="C647" s="3">
        <v>222222.0</v>
      </c>
      <c r="D647" s="3" t="s">
        <v>8</v>
      </c>
      <c r="E647" s="3" t="s">
        <v>9</v>
      </c>
      <c r="F647" s="3" t="s">
        <v>10</v>
      </c>
    </row>
    <row r="648">
      <c r="A648" s="5" t="str">
        <f>IFERROR(__xludf.DUMMYFUNCTION("""COMPUTED_VALUE"""),"DBP02000646")</f>
        <v>DBP02000646</v>
      </c>
      <c r="B648" s="5" t="str">
        <f>IFERROR(__xludf.DUMMYFUNCTION("""COMPUTED_VALUE"""),"adrajid285@gmail.com")</f>
        <v>adrajid285@gmail.com</v>
      </c>
      <c r="C648" s="3">
        <v>222222.0</v>
      </c>
      <c r="D648" s="3" t="s">
        <v>8</v>
      </c>
      <c r="E648" s="3" t="s">
        <v>9</v>
      </c>
      <c r="F648" s="3" t="s">
        <v>10</v>
      </c>
    </row>
    <row r="649">
      <c r="A649" s="5" t="str">
        <f>IFERROR(__xludf.DUMMYFUNCTION("""COMPUTED_VALUE"""),"DBP02000647")</f>
        <v>DBP02000647</v>
      </c>
      <c r="B649" s="5" t="str">
        <f>IFERROR(__xludf.DUMMYFUNCTION("""COMPUTED_VALUE"""),"senna11690@gmail.com")</f>
        <v>senna11690@gmail.com</v>
      </c>
      <c r="C649" s="3">
        <v>222222.0</v>
      </c>
      <c r="D649" s="3" t="s">
        <v>8</v>
      </c>
      <c r="E649" s="3" t="s">
        <v>9</v>
      </c>
      <c r="F649" s="3" t="s">
        <v>10</v>
      </c>
    </row>
    <row r="650">
      <c r="A650" s="5" t="str">
        <f>IFERROR(__xludf.DUMMYFUNCTION("""COMPUTED_VALUE"""),"DBP02000648")</f>
        <v>DBP02000648</v>
      </c>
      <c r="B650" s="5" t="str">
        <f>IFERROR(__xludf.DUMMYFUNCTION("""COMPUTED_VALUE"""),"fikyudhistira@gmail.com")</f>
        <v>fikyudhistira@gmail.com</v>
      </c>
      <c r="C650" s="3">
        <v>222222.0</v>
      </c>
      <c r="D650" s="3" t="s">
        <v>8</v>
      </c>
      <c r="E650" s="3" t="s">
        <v>9</v>
      </c>
      <c r="F650" s="3" t="s">
        <v>10</v>
      </c>
    </row>
    <row r="651">
      <c r="A651" s="5" t="str">
        <f>IFERROR(__xludf.DUMMYFUNCTION("""COMPUTED_VALUE"""),"DBP02000649")</f>
        <v>DBP02000649</v>
      </c>
      <c r="B651" s="5" t="str">
        <f>IFERROR(__xludf.DUMMYFUNCTION("""COMPUTED_VALUE"""),"fadhli.o.nugraha@gmail.com")</f>
        <v>fadhli.o.nugraha@gmail.com</v>
      </c>
      <c r="C651" s="3">
        <v>222222.0</v>
      </c>
      <c r="D651" s="3" t="s">
        <v>8</v>
      </c>
      <c r="E651" s="3" t="s">
        <v>9</v>
      </c>
      <c r="F651" s="3" t="s">
        <v>10</v>
      </c>
    </row>
    <row r="652">
      <c r="A652" s="5" t="str">
        <f>IFERROR(__xludf.DUMMYFUNCTION("""COMPUTED_VALUE"""),"DBP02000650")</f>
        <v>DBP02000650</v>
      </c>
      <c r="B652" s="5" t="str">
        <f>IFERROR(__xludf.DUMMYFUNCTION("""COMPUTED_VALUE"""),"zammisidiq77@gmail.com")</f>
        <v>zammisidiq77@gmail.com</v>
      </c>
      <c r="C652" s="3">
        <v>222222.0</v>
      </c>
      <c r="D652" s="3" t="s">
        <v>8</v>
      </c>
      <c r="E652" s="3" t="s">
        <v>9</v>
      </c>
      <c r="F652" s="3" t="s">
        <v>10</v>
      </c>
    </row>
    <row r="653">
      <c r="A653" s="5" t="str">
        <f>IFERROR(__xludf.DUMMYFUNCTION("""COMPUTED_VALUE"""),"DBP02000651")</f>
        <v>DBP02000651</v>
      </c>
      <c r="B653" s="5" t="str">
        <f>IFERROR(__xludf.DUMMYFUNCTION("""COMPUTED_VALUE"""),"romanisah90@gmail.com")</f>
        <v>romanisah90@gmail.com</v>
      </c>
      <c r="C653" s="3">
        <v>222222.0</v>
      </c>
      <c r="D653" s="3" t="s">
        <v>8</v>
      </c>
      <c r="E653" s="3" t="s">
        <v>9</v>
      </c>
      <c r="F653" s="3" t="s">
        <v>10</v>
      </c>
    </row>
    <row r="654">
      <c r="A654" s="5" t="str">
        <f>IFERROR(__xludf.DUMMYFUNCTION("""COMPUTED_VALUE"""),"DBP02000652")</f>
        <v>DBP02000652</v>
      </c>
      <c r="B654" s="5" t="str">
        <f>IFERROR(__xludf.DUMMYFUNCTION("""COMPUTED_VALUE"""),"aminas0368@gmail.com")</f>
        <v>aminas0368@gmail.com</v>
      </c>
      <c r="C654" s="3">
        <v>222222.0</v>
      </c>
      <c r="D654" s="3" t="s">
        <v>8</v>
      </c>
      <c r="E654" s="3" t="s">
        <v>9</v>
      </c>
      <c r="F654" s="3" t="s">
        <v>10</v>
      </c>
    </row>
    <row r="655">
      <c r="A655" s="5" t="str">
        <f>IFERROR(__xludf.DUMMYFUNCTION("""COMPUTED_VALUE"""),"DBP02000653")</f>
        <v>DBP02000653</v>
      </c>
      <c r="B655" s="5" t="str">
        <f>IFERROR(__xludf.DUMMYFUNCTION("""COMPUTED_VALUE"""),"raishaazzhr@gmail.com")</f>
        <v>raishaazzhr@gmail.com</v>
      </c>
      <c r="C655" s="3">
        <v>222222.0</v>
      </c>
      <c r="D655" s="3" t="s">
        <v>8</v>
      </c>
      <c r="E655" s="3" t="s">
        <v>9</v>
      </c>
      <c r="F655" s="3" t="s">
        <v>10</v>
      </c>
    </row>
    <row r="656">
      <c r="A656" s="5" t="str">
        <f>IFERROR(__xludf.DUMMYFUNCTION("""COMPUTED_VALUE"""),"DBP02000654")</f>
        <v>DBP02000654</v>
      </c>
      <c r="B656" s="5" t="str">
        <f>IFERROR(__xludf.DUMMYFUNCTION("""COMPUTED_VALUE"""),"fuadmustholahul@gmail.com")</f>
        <v>fuadmustholahul@gmail.com</v>
      </c>
      <c r="C656" s="3">
        <v>222222.0</v>
      </c>
      <c r="D656" s="3" t="s">
        <v>8</v>
      </c>
      <c r="E656" s="3" t="s">
        <v>9</v>
      </c>
      <c r="F656" s="3" t="s">
        <v>10</v>
      </c>
    </row>
    <row r="657">
      <c r="A657" s="5" t="str">
        <f>IFERROR(__xludf.DUMMYFUNCTION("""COMPUTED_VALUE"""),"DBP02000655")</f>
        <v>DBP02000655</v>
      </c>
      <c r="B657" s="5" t="str">
        <f>IFERROR(__xludf.DUMMYFUNCTION("""COMPUTED_VALUE"""),"adrilmaulana16@gmail.com")</f>
        <v>adrilmaulana16@gmail.com</v>
      </c>
      <c r="C657" s="3">
        <v>222222.0</v>
      </c>
      <c r="D657" s="3" t="s">
        <v>8</v>
      </c>
      <c r="E657" s="3" t="s">
        <v>9</v>
      </c>
      <c r="F657" s="3" t="s">
        <v>10</v>
      </c>
    </row>
    <row r="658">
      <c r="A658" s="5" t="str">
        <f>IFERROR(__xludf.DUMMYFUNCTION("""COMPUTED_VALUE"""),"DBP02000656")</f>
        <v>DBP02000656</v>
      </c>
      <c r="B658" s="5" t="str">
        <f>IFERROR(__xludf.DUMMYFUNCTION("""COMPUTED_VALUE"""),"dellalucky02@gmail.com")</f>
        <v>dellalucky02@gmail.com</v>
      </c>
      <c r="C658" s="3">
        <v>222222.0</v>
      </c>
      <c r="D658" s="3" t="s">
        <v>8</v>
      </c>
      <c r="E658" s="3" t="s">
        <v>9</v>
      </c>
      <c r="F658" s="3" t="s">
        <v>10</v>
      </c>
    </row>
    <row r="659">
      <c r="A659" s="5" t="str">
        <f>IFERROR(__xludf.DUMMYFUNCTION("""COMPUTED_VALUE"""),"DBP02000657")</f>
        <v>DBP02000657</v>
      </c>
      <c r="B659" s="5" t="str">
        <f>IFERROR(__xludf.DUMMYFUNCTION("""COMPUTED_VALUE"""),"dwiprabawa16@gmail.com")</f>
        <v>dwiprabawa16@gmail.com</v>
      </c>
      <c r="C659" s="3">
        <v>222222.0</v>
      </c>
      <c r="D659" s="3" t="s">
        <v>8</v>
      </c>
      <c r="E659" s="3" t="s">
        <v>9</v>
      </c>
      <c r="F659" s="3" t="s">
        <v>10</v>
      </c>
    </row>
    <row r="660">
      <c r="A660" s="5" t="str">
        <f>IFERROR(__xludf.DUMMYFUNCTION("""COMPUTED_VALUE"""),"DBP02000658")</f>
        <v>DBP02000658</v>
      </c>
      <c r="B660" s="5" t="str">
        <f>IFERROR(__xludf.DUMMYFUNCTION("""COMPUTED_VALUE"""),"edysis.kds@gmail.com")</f>
        <v>edysis.kds@gmail.com</v>
      </c>
      <c r="C660" s="3">
        <v>222222.0</v>
      </c>
      <c r="D660" s="3" t="s">
        <v>8</v>
      </c>
      <c r="E660" s="3" t="s">
        <v>9</v>
      </c>
      <c r="F660" s="3" t="s">
        <v>10</v>
      </c>
    </row>
    <row r="661">
      <c r="A661" s="5" t="str">
        <f>IFERROR(__xludf.DUMMYFUNCTION("""COMPUTED_VALUE"""),"DBP02000659")</f>
        <v>DBP02000659</v>
      </c>
      <c r="B661" s="5" t="str">
        <f>IFERROR(__xludf.DUMMYFUNCTION("""COMPUTED_VALUE"""),"marselsona123@gmail.com")</f>
        <v>marselsona123@gmail.com</v>
      </c>
      <c r="C661" s="3">
        <v>222222.0</v>
      </c>
      <c r="D661" s="3" t="s">
        <v>8</v>
      </c>
      <c r="E661" s="3" t="s">
        <v>9</v>
      </c>
      <c r="F661" s="3" t="s">
        <v>10</v>
      </c>
    </row>
    <row r="662">
      <c r="A662" s="5" t="str">
        <f>IFERROR(__xludf.DUMMYFUNCTION("""COMPUTED_VALUE"""),"DBP02000660")</f>
        <v>DBP02000660</v>
      </c>
      <c r="B662" s="5" t="str">
        <f>IFERROR(__xludf.DUMMYFUNCTION("""COMPUTED_VALUE"""),"shmf82@gmail.com")</f>
        <v>shmf82@gmail.com</v>
      </c>
      <c r="C662" s="3">
        <v>222222.0</v>
      </c>
      <c r="D662" s="3" t="s">
        <v>8</v>
      </c>
      <c r="E662" s="3" t="s">
        <v>9</v>
      </c>
      <c r="F662" s="3" t="s">
        <v>10</v>
      </c>
    </row>
    <row r="663">
      <c r="A663" s="5" t="str">
        <f>IFERROR(__xludf.DUMMYFUNCTION("""COMPUTED_VALUE"""),"DBP02000661")</f>
        <v>DBP02000661</v>
      </c>
      <c r="B663" s="5" t="str">
        <f>IFERROR(__xludf.DUMMYFUNCTION("""COMPUTED_VALUE"""),"ilmaghfur@gmail.com")</f>
        <v>ilmaghfur@gmail.com</v>
      </c>
      <c r="C663" s="3">
        <v>222222.0</v>
      </c>
      <c r="D663" s="3" t="s">
        <v>8</v>
      </c>
      <c r="E663" s="3" t="s">
        <v>9</v>
      </c>
      <c r="F663" s="3" t="s">
        <v>10</v>
      </c>
    </row>
    <row r="664">
      <c r="A664" s="5" t="str">
        <f>IFERROR(__xludf.DUMMYFUNCTION("""COMPUTED_VALUE"""),"DBP02000662")</f>
        <v>DBP02000662</v>
      </c>
      <c r="B664" s="5" t="str">
        <f>IFERROR(__xludf.DUMMYFUNCTION("""COMPUTED_VALUE"""),"zthariq00@gmail.com")</f>
        <v>zthariq00@gmail.com</v>
      </c>
      <c r="C664" s="3">
        <v>222222.0</v>
      </c>
      <c r="D664" s="3" t="s">
        <v>8</v>
      </c>
      <c r="E664" s="3" t="s">
        <v>9</v>
      </c>
      <c r="F664" s="3" t="s">
        <v>10</v>
      </c>
    </row>
    <row r="665">
      <c r="A665" s="5" t="str">
        <f>IFERROR(__xludf.DUMMYFUNCTION("""COMPUTED_VALUE"""),"DBP02000663")</f>
        <v>DBP02000663</v>
      </c>
      <c r="B665" s="5" t="str">
        <f>IFERROR(__xludf.DUMMYFUNCTION("""COMPUTED_VALUE"""),"amandafannysilviana@gmail.com")</f>
        <v>amandafannysilviana@gmail.com</v>
      </c>
      <c r="C665" s="3">
        <v>222222.0</v>
      </c>
      <c r="D665" s="3" t="s">
        <v>8</v>
      </c>
      <c r="E665" s="3" t="s">
        <v>9</v>
      </c>
      <c r="F665" s="3" t="s">
        <v>10</v>
      </c>
    </row>
    <row r="666">
      <c r="A666" s="5" t="str">
        <f>IFERROR(__xludf.DUMMYFUNCTION("""COMPUTED_VALUE"""),"DBP02000664")</f>
        <v>DBP02000664</v>
      </c>
      <c r="B666" s="5" t="str">
        <f>IFERROR(__xludf.DUMMYFUNCTION("""COMPUTED_VALUE"""),"yunitaerniazan@gmail.com")</f>
        <v>yunitaerniazan@gmail.com</v>
      </c>
      <c r="C666" s="3">
        <v>222222.0</v>
      </c>
      <c r="D666" s="3" t="s">
        <v>8</v>
      </c>
      <c r="E666" s="3" t="s">
        <v>9</v>
      </c>
      <c r="F666" s="3" t="s">
        <v>10</v>
      </c>
    </row>
    <row r="667">
      <c r="A667" s="5" t="str">
        <f>IFERROR(__xludf.DUMMYFUNCTION("""COMPUTED_VALUE"""),"DBP02000665")</f>
        <v>DBP02000665</v>
      </c>
      <c r="B667" s="5" t="str">
        <f>IFERROR(__xludf.DUMMYFUNCTION("""COMPUTED_VALUE"""),"wendyrabiviani@gmail.com")</f>
        <v>wendyrabiviani@gmail.com</v>
      </c>
      <c r="C667" s="3">
        <v>222222.0</v>
      </c>
      <c r="D667" s="3" t="s">
        <v>8</v>
      </c>
      <c r="E667" s="3" t="s">
        <v>9</v>
      </c>
      <c r="F667" s="3" t="s">
        <v>10</v>
      </c>
    </row>
    <row r="668">
      <c r="A668" s="5" t="str">
        <f>IFERROR(__xludf.DUMMYFUNCTION("""COMPUTED_VALUE"""),"DBP02000666")</f>
        <v>DBP02000666</v>
      </c>
      <c r="B668" s="5" t="str">
        <f>IFERROR(__xludf.DUMMYFUNCTION("""COMPUTED_VALUE"""),"afillah4@gmail.com")</f>
        <v>afillah4@gmail.com</v>
      </c>
      <c r="C668" s="3">
        <v>222222.0</v>
      </c>
      <c r="D668" s="3" t="s">
        <v>8</v>
      </c>
      <c r="E668" s="3" t="s">
        <v>9</v>
      </c>
      <c r="F668" s="3" t="s">
        <v>10</v>
      </c>
    </row>
    <row r="669">
      <c r="A669" s="5" t="str">
        <f>IFERROR(__xludf.DUMMYFUNCTION("""COMPUTED_VALUE"""),"DBP02000667")</f>
        <v>DBP02000667</v>
      </c>
      <c r="B669" s="5" t="str">
        <f>IFERROR(__xludf.DUMMYFUNCTION("""COMPUTED_VALUE"""),"ayundaalifiya23@gmail.com")</f>
        <v>ayundaalifiya23@gmail.com</v>
      </c>
      <c r="C669" s="3">
        <v>222222.0</v>
      </c>
      <c r="D669" s="3" t="s">
        <v>8</v>
      </c>
      <c r="E669" s="3" t="s">
        <v>9</v>
      </c>
      <c r="F669" s="3" t="s">
        <v>10</v>
      </c>
    </row>
    <row r="670">
      <c r="A670" s="5" t="str">
        <f>IFERROR(__xludf.DUMMYFUNCTION("""COMPUTED_VALUE"""),"DBP02000668")</f>
        <v>DBP02000668</v>
      </c>
      <c r="B670" s="5" t="str">
        <f>IFERROR(__xludf.DUMMYFUNCTION("""COMPUTED_VALUE"""),"helenfransiska04@gmail.com")</f>
        <v>helenfransiska04@gmail.com</v>
      </c>
      <c r="C670" s="3">
        <v>222222.0</v>
      </c>
      <c r="D670" s="3" t="s">
        <v>8</v>
      </c>
      <c r="E670" s="3" t="s">
        <v>9</v>
      </c>
      <c r="F670" s="3" t="s">
        <v>10</v>
      </c>
    </row>
    <row r="671">
      <c r="A671" s="5" t="str">
        <f>IFERROR(__xludf.DUMMYFUNCTION("""COMPUTED_VALUE"""),"DBP02000669")</f>
        <v>DBP02000669</v>
      </c>
      <c r="B671" s="5"/>
      <c r="C671" s="3">
        <v>222222.0</v>
      </c>
      <c r="D671" s="3" t="s">
        <v>8</v>
      </c>
      <c r="E671" s="3" t="s">
        <v>9</v>
      </c>
      <c r="F671" s="3" t="s">
        <v>10</v>
      </c>
    </row>
    <row r="672">
      <c r="A672" s="5" t="str">
        <f>IFERROR(__xludf.DUMMYFUNCTION("""COMPUTED_VALUE"""),"DBP02000670")</f>
        <v>DBP02000670</v>
      </c>
      <c r="B672" s="5" t="str">
        <f>IFERROR(__xludf.DUMMYFUNCTION("""COMPUTED_VALUE"""),"bayups213@gmail.com")</f>
        <v>bayups213@gmail.com</v>
      </c>
      <c r="C672" s="3">
        <v>222222.0</v>
      </c>
      <c r="D672" s="3" t="s">
        <v>8</v>
      </c>
      <c r="E672" s="3" t="s">
        <v>9</v>
      </c>
      <c r="F672" s="3" t="s">
        <v>10</v>
      </c>
    </row>
    <row r="673">
      <c r="A673" s="5" t="str">
        <f>IFERROR(__xludf.DUMMYFUNCTION("""COMPUTED_VALUE"""),"DBP02000671")</f>
        <v>DBP02000671</v>
      </c>
      <c r="B673" s="5" t="str">
        <f>IFERROR(__xludf.DUMMYFUNCTION("""COMPUTED_VALUE"""),"galangdps@gmail.com")</f>
        <v>galangdps@gmail.com</v>
      </c>
      <c r="C673" s="3">
        <v>222222.0</v>
      </c>
      <c r="D673" s="3" t="s">
        <v>8</v>
      </c>
      <c r="E673" s="3" t="s">
        <v>9</v>
      </c>
      <c r="F673" s="3" t="s">
        <v>10</v>
      </c>
    </row>
    <row r="674">
      <c r="A674" s="5" t="str">
        <f>IFERROR(__xludf.DUMMYFUNCTION("""COMPUTED_VALUE"""),"DBP02000672")</f>
        <v>DBP02000672</v>
      </c>
      <c r="B674" s="5" t="str">
        <f>IFERROR(__xludf.DUMMYFUNCTION("""COMPUTED_VALUE"""),"meerandaamabell@gmail.com")</f>
        <v>meerandaamabell@gmail.com</v>
      </c>
      <c r="C674" s="3">
        <v>222222.0</v>
      </c>
      <c r="D674" s="3" t="s">
        <v>8</v>
      </c>
      <c r="E674" s="3" t="s">
        <v>9</v>
      </c>
      <c r="F674" s="3" t="s">
        <v>10</v>
      </c>
    </row>
    <row r="675">
      <c r="A675" s="5" t="str">
        <f>IFERROR(__xludf.DUMMYFUNCTION("""COMPUTED_VALUE"""),"DBP02000673")</f>
        <v>DBP02000673</v>
      </c>
      <c r="B675" s="5" t="str">
        <f>IFERROR(__xludf.DUMMYFUNCTION("""COMPUTED_VALUE"""),"sanjayamutiara@gmail.com")</f>
        <v>sanjayamutiara@gmail.com</v>
      </c>
      <c r="C675" s="3">
        <v>222222.0</v>
      </c>
      <c r="D675" s="3" t="s">
        <v>8</v>
      </c>
      <c r="E675" s="3" t="s">
        <v>9</v>
      </c>
      <c r="F675" s="3" t="s">
        <v>10</v>
      </c>
    </row>
    <row r="676">
      <c r="A676" s="5" t="str">
        <f>IFERROR(__xludf.DUMMYFUNCTION("""COMPUTED_VALUE"""),"DBP02000674")</f>
        <v>DBP02000674</v>
      </c>
      <c r="B676" s="5" t="str">
        <f>IFERROR(__xludf.DUMMYFUNCTION("""COMPUTED_VALUE"""),"jayantirauf111@gmail.com")</f>
        <v>jayantirauf111@gmail.com</v>
      </c>
      <c r="C676" s="3">
        <v>222222.0</v>
      </c>
      <c r="D676" s="3" t="s">
        <v>8</v>
      </c>
      <c r="E676" s="3" t="s">
        <v>9</v>
      </c>
      <c r="F676" s="3" t="s">
        <v>10</v>
      </c>
    </row>
    <row r="677">
      <c r="A677" s="5" t="str">
        <f>IFERROR(__xludf.DUMMYFUNCTION("""COMPUTED_VALUE"""),"DBP02000675")</f>
        <v>DBP02000675</v>
      </c>
      <c r="B677" s="5" t="str">
        <f>IFERROR(__xludf.DUMMYFUNCTION("""COMPUTED_VALUE"""),"masihorandre@gmail.com")</f>
        <v>masihorandre@gmail.com</v>
      </c>
      <c r="C677" s="3">
        <v>222222.0</v>
      </c>
      <c r="D677" s="3" t="s">
        <v>8</v>
      </c>
      <c r="E677" s="3" t="s">
        <v>9</v>
      </c>
      <c r="F677" s="3" t="s">
        <v>10</v>
      </c>
    </row>
    <row r="678">
      <c r="A678" s="5" t="str">
        <f>IFERROR(__xludf.DUMMYFUNCTION("""COMPUTED_VALUE"""),"DBP02000676")</f>
        <v>DBP02000676</v>
      </c>
      <c r="B678" s="5" t="str">
        <f>IFERROR(__xludf.DUMMYFUNCTION("""COMPUTED_VALUE"""),"natasyarisalda@gmail.com")</f>
        <v>natasyarisalda@gmail.com</v>
      </c>
      <c r="C678" s="3">
        <v>222222.0</v>
      </c>
      <c r="D678" s="3" t="s">
        <v>8</v>
      </c>
      <c r="E678" s="3" t="s">
        <v>9</v>
      </c>
      <c r="F678" s="3" t="s">
        <v>10</v>
      </c>
    </row>
    <row r="679">
      <c r="A679" s="5" t="str">
        <f>IFERROR(__xludf.DUMMYFUNCTION("""COMPUTED_VALUE"""),"DBP02000677")</f>
        <v>DBP02000677</v>
      </c>
      <c r="B679" s="5" t="str">
        <f>IFERROR(__xludf.DUMMYFUNCTION("""COMPUTED_VALUE"""),"mei123ly@gmail.com")</f>
        <v>mei123ly@gmail.com</v>
      </c>
      <c r="C679" s="3">
        <v>222222.0</v>
      </c>
      <c r="D679" s="3" t="s">
        <v>8</v>
      </c>
      <c r="E679" s="3" t="s">
        <v>9</v>
      </c>
      <c r="F679" s="3" t="s">
        <v>10</v>
      </c>
    </row>
    <row r="680">
      <c r="A680" s="5" t="str">
        <f>IFERROR(__xludf.DUMMYFUNCTION("""COMPUTED_VALUE"""),"DBP02000678")</f>
        <v>DBP02000678</v>
      </c>
      <c r="B680" s="5" t="str">
        <f>IFERROR(__xludf.DUMMYFUNCTION("""COMPUTED_VALUE"""),"haidarconoras2001@gmail.com")</f>
        <v>haidarconoras2001@gmail.com</v>
      </c>
      <c r="C680" s="3">
        <v>222222.0</v>
      </c>
      <c r="D680" s="3" t="s">
        <v>8</v>
      </c>
      <c r="E680" s="3" t="s">
        <v>9</v>
      </c>
      <c r="F680" s="3" t="s">
        <v>10</v>
      </c>
    </row>
    <row r="681">
      <c r="A681" s="5" t="str">
        <f>IFERROR(__xludf.DUMMYFUNCTION("""COMPUTED_VALUE"""),"DBP02000679")</f>
        <v>DBP02000679</v>
      </c>
      <c r="B681" s="5" t="str">
        <f>IFERROR(__xludf.DUMMYFUNCTION("""COMPUTED_VALUE"""),"anthoniuskosasih@gmail.com")</f>
        <v>anthoniuskosasih@gmail.com</v>
      </c>
      <c r="C681" s="3">
        <v>222222.0</v>
      </c>
      <c r="D681" s="3" t="s">
        <v>8</v>
      </c>
      <c r="E681" s="3" t="s">
        <v>9</v>
      </c>
      <c r="F681" s="3" t="s">
        <v>10</v>
      </c>
    </row>
    <row r="682">
      <c r="A682" s="5" t="str">
        <f>IFERROR(__xludf.DUMMYFUNCTION("""COMPUTED_VALUE"""),"DBP02000680")</f>
        <v>DBP02000680</v>
      </c>
      <c r="B682" s="5" t="str">
        <f>IFERROR(__xludf.DUMMYFUNCTION("""COMPUTED_VALUE"""),"waterhouseng3003@gmail.com")</f>
        <v>waterhouseng3003@gmail.com</v>
      </c>
      <c r="C682" s="3">
        <v>222222.0</v>
      </c>
      <c r="D682" s="3" t="s">
        <v>8</v>
      </c>
      <c r="E682" s="3" t="s">
        <v>9</v>
      </c>
      <c r="F682" s="3" t="s">
        <v>10</v>
      </c>
    </row>
    <row r="683">
      <c r="A683" s="5" t="str">
        <f>IFERROR(__xludf.DUMMYFUNCTION("""COMPUTED_VALUE"""),"DBP02000681")</f>
        <v>DBP02000681</v>
      </c>
      <c r="B683" s="5" t="str">
        <f>IFERROR(__xludf.DUMMYFUNCTION("""COMPUTED_VALUE"""),"ryanjonathan8819@gmail.com")</f>
        <v>ryanjonathan8819@gmail.com</v>
      </c>
      <c r="C683" s="3">
        <v>222222.0</v>
      </c>
      <c r="D683" s="3" t="s">
        <v>8</v>
      </c>
      <c r="E683" s="3" t="s">
        <v>9</v>
      </c>
      <c r="F683" s="3" t="s">
        <v>10</v>
      </c>
    </row>
    <row r="684">
      <c r="A684" s="5" t="str">
        <f>IFERROR(__xludf.DUMMYFUNCTION("""COMPUTED_VALUE"""),"DBP02000682")</f>
        <v>DBP02000682</v>
      </c>
      <c r="B684" s="5" t="str">
        <f>IFERROR(__xludf.DUMMYFUNCTION("""COMPUTED_VALUE"""),"29ismawaty@gmail.com")</f>
        <v>29ismawaty@gmail.com</v>
      </c>
      <c r="C684" s="3">
        <v>222222.0</v>
      </c>
      <c r="D684" s="3" t="s">
        <v>8</v>
      </c>
      <c r="E684" s="3" t="s">
        <v>9</v>
      </c>
      <c r="F684" s="3" t="s">
        <v>10</v>
      </c>
    </row>
    <row r="685">
      <c r="A685" s="5" t="str">
        <f>IFERROR(__xludf.DUMMYFUNCTION("""COMPUTED_VALUE"""),"DBP02000683")</f>
        <v>DBP02000683</v>
      </c>
      <c r="B685" s="5" t="str">
        <f>IFERROR(__xludf.DUMMYFUNCTION("""COMPUTED_VALUE"""),"hestytiwi7@gmail.com")</f>
        <v>hestytiwi7@gmail.com</v>
      </c>
      <c r="C685" s="3">
        <v>222222.0</v>
      </c>
      <c r="D685" s="3" t="s">
        <v>8</v>
      </c>
      <c r="E685" s="3" t="s">
        <v>9</v>
      </c>
      <c r="F685" s="3" t="s">
        <v>10</v>
      </c>
    </row>
    <row r="686">
      <c r="A686" s="5" t="str">
        <f>IFERROR(__xludf.DUMMYFUNCTION("""COMPUTED_VALUE"""),"DBP02000684")</f>
        <v>DBP02000684</v>
      </c>
      <c r="B686" s="5" t="str">
        <f>IFERROR(__xludf.DUMMYFUNCTION("""COMPUTED_VALUE"""),"sarjonadarani123@gmail.com")</f>
        <v>sarjonadarani123@gmail.com</v>
      </c>
      <c r="C686" s="3">
        <v>222222.0</v>
      </c>
      <c r="D686" s="3" t="s">
        <v>8</v>
      </c>
      <c r="E686" s="3" t="s">
        <v>9</v>
      </c>
      <c r="F686" s="3" t="s">
        <v>10</v>
      </c>
    </row>
    <row r="687">
      <c r="A687" s="5" t="str">
        <f>IFERROR(__xludf.DUMMYFUNCTION("""COMPUTED_VALUE"""),"DBP02000685")</f>
        <v>DBP02000685</v>
      </c>
      <c r="B687" s="5" t="str">
        <f>IFERROR(__xludf.DUMMYFUNCTION("""COMPUTED_VALUE"""),"rahayusavitri01@gmail.com")</f>
        <v>rahayusavitri01@gmail.com</v>
      </c>
      <c r="C687" s="3">
        <v>222222.0</v>
      </c>
      <c r="D687" s="3" t="s">
        <v>8</v>
      </c>
      <c r="E687" s="3" t="s">
        <v>9</v>
      </c>
      <c r="F687" s="3" t="s">
        <v>10</v>
      </c>
    </row>
    <row r="688">
      <c r="A688" s="5" t="str">
        <f>IFERROR(__xludf.DUMMYFUNCTION("""COMPUTED_VALUE"""),"DBP02000686")</f>
        <v>DBP02000686</v>
      </c>
      <c r="B688" s="5" t="str">
        <f>IFERROR(__xludf.DUMMYFUNCTION("""COMPUTED_VALUE"""),"megaagustiwi@gmail.com")</f>
        <v>megaagustiwi@gmail.com</v>
      </c>
      <c r="C688" s="3">
        <v>222222.0</v>
      </c>
      <c r="D688" s="3" t="s">
        <v>8</v>
      </c>
      <c r="E688" s="3" t="s">
        <v>9</v>
      </c>
      <c r="F688" s="3" t="s">
        <v>10</v>
      </c>
    </row>
    <row r="689">
      <c r="A689" s="5" t="str">
        <f>IFERROR(__xludf.DUMMYFUNCTION("""COMPUTED_VALUE"""),"DBP02000687")</f>
        <v>DBP02000687</v>
      </c>
      <c r="B689" s="5" t="str">
        <f>IFERROR(__xludf.DUMMYFUNCTION("""COMPUTED_VALUE"""),"nurwahidlipoeto@gmail.com")</f>
        <v>nurwahidlipoeto@gmail.com</v>
      </c>
      <c r="C689" s="3">
        <v>222222.0</v>
      </c>
      <c r="D689" s="3" t="s">
        <v>8</v>
      </c>
      <c r="E689" s="3" t="s">
        <v>9</v>
      </c>
      <c r="F689" s="3" t="s">
        <v>10</v>
      </c>
    </row>
    <row r="690">
      <c r="A690" s="5" t="str">
        <f>IFERROR(__xludf.DUMMYFUNCTION("""COMPUTED_VALUE"""),"DBP02000688")</f>
        <v>DBP02000688</v>
      </c>
      <c r="B690" s="5" t="str">
        <f>IFERROR(__xludf.DUMMYFUNCTION("""COMPUTED_VALUE"""),"machiot11@gmail.com")</f>
        <v>machiot11@gmail.com</v>
      </c>
      <c r="C690" s="3">
        <v>222222.0</v>
      </c>
      <c r="D690" s="3" t="s">
        <v>8</v>
      </c>
      <c r="E690" s="3" t="s">
        <v>9</v>
      </c>
      <c r="F690" s="3" t="s">
        <v>10</v>
      </c>
    </row>
    <row r="691">
      <c r="A691" s="5" t="str">
        <f>IFERROR(__xludf.DUMMYFUNCTION("""COMPUTED_VALUE"""),"DBP02000689")</f>
        <v>DBP02000689</v>
      </c>
      <c r="B691" s="5" t="str">
        <f>IFERROR(__xludf.DUMMYFUNCTION("""COMPUTED_VALUE"""),"nicosanjaya1512@gmail.com")</f>
        <v>nicosanjaya1512@gmail.com</v>
      </c>
      <c r="C691" s="3">
        <v>222222.0</v>
      </c>
      <c r="D691" s="3" t="s">
        <v>8</v>
      </c>
      <c r="E691" s="3" t="s">
        <v>9</v>
      </c>
      <c r="F691" s="3" t="s">
        <v>10</v>
      </c>
    </row>
    <row r="692">
      <c r="A692" s="5" t="str">
        <f>IFERROR(__xludf.DUMMYFUNCTION("""COMPUTED_VALUE"""),"DBP02000690")</f>
        <v>DBP02000690</v>
      </c>
      <c r="B692" s="5" t="str">
        <f>IFERROR(__xludf.DUMMYFUNCTION("""COMPUTED_VALUE"""),"jovanhp1@gmail.com")</f>
        <v>jovanhp1@gmail.com</v>
      </c>
      <c r="C692" s="3">
        <v>222222.0</v>
      </c>
      <c r="D692" s="3" t="s">
        <v>8</v>
      </c>
      <c r="E692" s="3" t="s">
        <v>9</v>
      </c>
      <c r="F692" s="3" t="s">
        <v>10</v>
      </c>
    </row>
    <row r="693">
      <c r="A693" s="5" t="str">
        <f>IFERROR(__xludf.DUMMYFUNCTION("""COMPUTED_VALUE"""),"DBP02000691")</f>
        <v>DBP02000691</v>
      </c>
      <c r="B693" s="5" t="str">
        <f>IFERROR(__xludf.DUMMYFUNCTION("""COMPUTED_VALUE"""),"riotaufikansr@gmail.com")</f>
        <v>riotaufikansr@gmail.com</v>
      </c>
      <c r="C693" s="3">
        <v>222222.0</v>
      </c>
      <c r="D693" s="3" t="s">
        <v>8</v>
      </c>
      <c r="E693" s="3" t="s">
        <v>9</v>
      </c>
      <c r="F693" s="3" t="s">
        <v>10</v>
      </c>
    </row>
    <row r="694">
      <c r="A694" s="5" t="str">
        <f>IFERROR(__xludf.DUMMYFUNCTION("""COMPUTED_VALUE"""),"DBP02000692")</f>
        <v>DBP02000692</v>
      </c>
      <c r="B694" s="5" t="str">
        <f>IFERROR(__xludf.DUMMYFUNCTION("""COMPUTED_VALUE"""),"dewalupepenuhcinta@gmail.com")</f>
        <v>dewalupepenuhcinta@gmail.com</v>
      </c>
      <c r="C694" s="3">
        <v>222222.0</v>
      </c>
      <c r="D694" s="3" t="s">
        <v>8</v>
      </c>
      <c r="E694" s="3" t="s">
        <v>9</v>
      </c>
      <c r="F694" s="3" t="s">
        <v>10</v>
      </c>
    </row>
    <row r="695">
      <c r="A695" s="5" t="str">
        <f>IFERROR(__xludf.DUMMYFUNCTION("""COMPUTED_VALUE"""),"DBP02000693")</f>
        <v>DBP02000693</v>
      </c>
      <c r="B695" s="5" t="str">
        <f>IFERROR(__xludf.DUMMYFUNCTION("""COMPUTED_VALUE"""),"aristapermata1312@gmail.com")</f>
        <v>aristapermata1312@gmail.com</v>
      </c>
      <c r="C695" s="3">
        <v>222222.0</v>
      </c>
      <c r="D695" s="3" t="s">
        <v>8</v>
      </c>
      <c r="E695" s="3" t="s">
        <v>9</v>
      </c>
      <c r="F695" s="3" t="s">
        <v>10</v>
      </c>
    </row>
    <row r="696">
      <c r="A696" s="5" t="str">
        <f>IFERROR(__xludf.DUMMYFUNCTION("""COMPUTED_VALUE"""),"DBP02000694")</f>
        <v>DBP02000694</v>
      </c>
      <c r="B696" s="5" t="str">
        <f>IFERROR(__xludf.DUMMYFUNCTION("""COMPUTED_VALUE"""),"daffanskachilayasa@gmail.com")</f>
        <v>daffanskachilayasa@gmail.com</v>
      </c>
      <c r="C696" s="3">
        <v>222222.0</v>
      </c>
      <c r="D696" s="3" t="s">
        <v>8</v>
      </c>
      <c r="E696" s="3" t="s">
        <v>9</v>
      </c>
      <c r="F696" s="3" t="s">
        <v>10</v>
      </c>
    </row>
    <row r="697">
      <c r="A697" s="5" t="str">
        <f>IFERROR(__xludf.DUMMYFUNCTION("""COMPUTED_VALUE"""),"DBP02000695")</f>
        <v>DBP02000695</v>
      </c>
      <c r="B697" s="5" t="str">
        <f>IFERROR(__xludf.DUMMYFUNCTION("""COMPUTED_VALUE"""),"feriharryono@gmail.com")</f>
        <v>feriharryono@gmail.com</v>
      </c>
      <c r="C697" s="3">
        <v>222222.0</v>
      </c>
      <c r="D697" s="3" t="s">
        <v>8</v>
      </c>
      <c r="E697" s="3" t="s">
        <v>9</v>
      </c>
      <c r="F697" s="3" t="s">
        <v>10</v>
      </c>
    </row>
    <row r="698">
      <c r="A698" s="5" t="str">
        <f>IFERROR(__xludf.DUMMYFUNCTION("""COMPUTED_VALUE"""),"DBP02000696")</f>
        <v>DBP02000696</v>
      </c>
      <c r="B698" s="5" t="str">
        <f>IFERROR(__xludf.DUMMYFUNCTION("""COMPUTED_VALUE"""),"vahrimokoagow@gmail.com")</f>
        <v>vahrimokoagow@gmail.com</v>
      </c>
      <c r="C698" s="3">
        <v>222222.0</v>
      </c>
      <c r="D698" s="3" t="s">
        <v>8</v>
      </c>
      <c r="E698" s="3" t="s">
        <v>9</v>
      </c>
      <c r="F698" s="3" t="s">
        <v>10</v>
      </c>
    </row>
    <row r="699">
      <c r="A699" s="5" t="str">
        <f>IFERROR(__xludf.DUMMYFUNCTION("""COMPUTED_VALUE"""),"DBP02000697")</f>
        <v>DBP02000697</v>
      </c>
      <c r="B699" s="5" t="str">
        <f>IFERROR(__xludf.DUMMYFUNCTION("""COMPUTED_VALUE"""),"rakaokadiraka@gmail.com")</f>
        <v>rakaokadiraka@gmail.com</v>
      </c>
      <c r="C699" s="3">
        <v>222222.0</v>
      </c>
      <c r="D699" s="3" t="s">
        <v>8</v>
      </c>
      <c r="E699" s="3" t="s">
        <v>9</v>
      </c>
      <c r="F699" s="3" t="s">
        <v>10</v>
      </c>
    </row>
    <row r="700">
      <c r="A700" s="5" t="str">
        <f>IFERROR(__xludf.DUMMYFUNCTION("""COMPUTED_VALUE"""),"DBP02000698")</f>
        <v>DBP02000698</v>
      </c>
      <c r="B700" s="5" t="str">
        <f>IFERROR(__xludf.DUMMYFUNCTION("""COMPUTED_VALUE"""),"had2work12@gmail.com")</f>
        <v>had2work12@gmail.com</v>
      </c>
      <c r="C700" s="3">
        <v>222222.0</v>
      </c>
      <c r="D700" s="3" t="s">
        <v>8</v>
      </c>
      <c r="E700" s="3" t="s">
        <v>9</v>
      </c>
      <c r="F700" s="3" t="s">
        <v>10</v>
      </c>
    </row>
    <row r="701">
      <c r="A701" s="5" t="str">
        <f>IFERROR(__xludf.DUMMYFUNCTION("""COMPUTED_VALUE"""),"DBP02000699")</f>
        <v>DBP02000699</v>
      </c>
      <c r="B701" s="5" t="str">
        <f>IFERROR(__xludf.DUMMYFUNCTION("""COMPUTED_VALUE"""),"hardiantitifani@gmail.com")</f>
        <v>hardiantitifani@gmail.com</v>
      </c>
      <c r="C701" s="3">
        <v>222222.0</v>
      </c>
      <c r="D701" s="3" t="s">
        <v>8</v>
      </c>
      <c r="E701" s="3" t="s">
        <v>9</v>
      </c>
      <c r="F701" s="3" t="s">
        <v>10</v>
      </c>
    </row>
    <row r="702">
      <c r="A702" s="5" t="str">
        <f>IFERROR(__xludf.DUMMYFUNCTION("""COMPUTED_VALUE"""),"DBP02000700")</f>
        <v>DBP02000700</v>
      </c>
      <c r="B702" s="5" t="str">
        <f>IFERROR(__xludf.DUMMYFUNCTION("""COMPUTED_VALUE"""),"suriyanahhikmah1992@gmail.com")</f>
        <v>suriyanahhikmah1992@gmail.com</v>
      </c>
      <c r="C702" s="3">
        <v>222222.0</v>
      </c>
      <c r="D702" s="3" t="s">
        <v>8</v>
      </c>
      <c r="E702" s="3" t="s">
        <v>9</v>
      </c>
      <c r="F702" s="3" t="s">
        <v>10</v>
      </c>
    </row>
    <row r="703">
      <c r="A703" s="5" t="str">
        <f>IFERROR(__xludf.DUMMYFUNCTION("""COMPUTED_VALUE"""),"DBP02000701")</f>
        <v>DBP02000701</v>
      </c>
      <c r="B703" s="5" t="str">
        <f>IFERROR(__xludf.DUMMYFUNCTION("""COMPUTED_VALUE"""),"wiwinapril184@gmail.com")</f>
        <v>wiwinapril184@gmail.com</v>
      </c>
      <c r="C703" s="3">
        <v>222222.0</v>
      </c>
      <c r="D703" s="3" t="s">
        <v>8</v>
      </c>
      <c r="E703" s="3" t="s">
        <v>9</v>
      </c>
      <c r="F703" s="3" t="s">
        <v>10</v>
      </c>
    </row>
    <row r="704">
      <c r="A704" s="5" t="str">
        <f>IFERROR(__xludf.DUMMYFUNCTION("""COMPUTED_VALUE"""),"DBP02000702")</f>
        <v>DBP02000702</v>
      </c>
      <c r="B704" s="5" t="str">
        <f>IFERROR(__xludf.DUMMYFUNCTION("""COMPUTED_VALUE"""),"maulanaivan09@gmail.com")</f>
        <v>maulanaivan09@gmail.com</v>
      </c>
      <c r="C704" s="3">
        <v>222222.0</v>
      </c>
      <c r="D704" s="3" t="s">
        <v>8</v>
      </c>
      <c r="E704" s="3" t="s">
        <v>9</v>
      </c>
      <c r="F704" s="3" t="s">
        <v>10</v>
      </c>
    </row>
    <row r="705">
      <c r="A705" s="5" t="str">
        <f>IFERROR(__xludf.DUMMYFUNCTION("""COMPUTED_VALUE"""),"DBP02000703")</f>
        <v>DBP02000703</v>
      </c>
      <c r="B705" s="5" t="str">
        <f>IFERROR(__xludf.DUMMYFUNCTION("""COMPUTED_VALUE"""),"ikaulfaharini28@gmail.com")</f>
        <v>ikaulfaharini28@gmail.com</v>
      </c>
      <c r="C705" s="3">
        <v>222222.0</v>
      </c>
      <c r="D705" s="3" t="s">
        <v>8</v>
      </c>
      <c r="E705" s="3" t="s">
        <v>9</v>
      </c>
      <c r="F705" s="3" t="s">
        <v>10</v>
      </c>
    </row>
    <row r="706">
      <c r="A706" s="5" t="str">
        <f>IFERROR(__xludf.DUMMYFUNCTION("""COMPUTED_VALUE"""),"DBP02000704")</f>
        <v>DBP02000704</v>
      </c>
      <c r="B706" s="5" t="str">
        <f>IFERROR(__xludf.DUMMYFUNCTION("""COMPUTED_VALUE"""),"allinpratiwi01@gmail.com")</f>
        <v>allinpratiwi01@gmail.com</v>
      </c>
      <c r="C706" s="3">
        <v>222222.0</v>
      </c>
      <c r="D706" s="3" t="s">
        <v>8</v>
      </c>
      <c r="E706" s="3" t="s">
        <v>9</v>
      </c>
      <c r="F706" s="3" t="s">
        <v>10</v>
      </c>
    </row>
    <row r="707">
      <c r="A707" s="5" t="str">
        <f>IFERROR(__xludf.DUMMYFUNCTION("""COMPUTED_VALUE"""),"DBP02000705")</f>
        <v>DBP02000705</v>
      </c>
      <c r="B707" s="5" t="str">
        <f>IFERROR(__xludf.DUMMYFUNCTION("""COMPUTED_VALUE"""),"unsakamilas@gmail.com")</f>
        <v>unsakamilas@gmail.com</v>
      </c>
      <c r="C707" s="3">
        <v>222222.0</v>
      </c>
      <c r="D707" s="3" t="s">
        <v>8</v>
      </c>
      <c r="E707" s="3" t="s">
        <v>9</v>
      </c>
      <c r="F707" s="3" t="s">
        <v>10</v>
      </c>
    </row>
    <row r="708">
      <c r="A708" s="5" t="str">
        <f>IFERROR(__xludf.DUMMYFUNCTION("""COMPUTED_VALUE"""),"DBP02000706")</f>
        <v>DBP02000706</v>
      </c>
      <c r="B708" s="5" t="str">
        <f>IFERROR(__xludf.DUMMYFUNCTION("""COMPUTED_VALUE"""),"nrftrwhyn@gmail.com")</f>
        <v>nrftrwhyn@gmail.com</v>
      </c>
      <c r="C708" s="3">
        <v>222222.0</v>
      </c>
      <c r="D708" s="3" t="s">
        <v>8</v>
      </c>
      <c r="E708" s="3" t="s">
        <v>9</v>
      </c>
      <c r="F708" s="3" t="s">
        <v>10</v>
      </c>
    </row>
    <row r="709">
      <c r="A709" s="5" t="str">
        <f>IFERROR(__xludf.DUMMYFUNCTION("""COMPUTED_VALUE"""),"DBP02000707")</f>
        <v>DBP02000707</v>
      </c>
      <c r="B709" s="5" t="str">
        <f>IFERROR(__xludf.DUMMYFUNCTION("""COMPUTED_VALUE"""),"kino99.kn@gmail.com")</f>
        <v>kino99.kn@gmail.com</v>
      </c>
      <c r="C709" s="3">
        <v>222222.0</v>
      </c>
      <c r="D709" s="3" t="s">
        <v>8</v>
      </c>
      <c r="E709" s="3" t="s">
        <v>9</v>
      </c>
      <c r="F709" s="3" t="s">
        <v>10</v>
      </c>
    </row>
    <row r="710">
      <c r="A710" s="5" t="str">
        <f>IFERROR(__xludf.DUMMYFUNCTION("""COMPUTED_VALUE"""),"DBP02000708")</f>
        <v>DBP02000708</v>
      </c>
      <c r="B710" s="5" t="str">
        <f>IFERROR(__xludf.DUMMYFUNCTION("""COMPUTED_VALUE"""),"arsiliya@gmail.com")</f>
        <v>arsiliya@gmail.com</v>
      </c>
      <c r="C710" s="3">
        <v>222222.0</v>
      </c>
      <c r="D710" s="3" t="s">
        <v>8</v>
      </c>
      <c r="E710" s="3" t="s">
        <v>9</v>
      </c>
      <c r="F710" s="3" t="s">
        <v>10</v>
      </c>
    </row>
    <row r="711">
      <c r="A711" s="5" t="str">
        <f>IFERROR(__xludf.DUMMYFUNCTION("""COMPUTED_VALUE"""),"DBP02000709")</f>
        <v>DBP02000709</v>
      </c>
      <c r="B711" s="5" t="str">
        <f>IFERROR(__xludf.DUMMYFUNCTION("""COMPUTED_VALUE"""),"hori.geh@gmail.com")</f>
        <v>hori.geh@gmail.com</v>
      </c>
      <c r="C711" s="3">
        <v>222222.0</v>
      </c>
      <c r="D711" s="3" t="s">
        <v>8</v>
      </c>
      <c r="E711" s="3" t="s">
        <v>9</v>
      </c>
      <c r="F711" s="3" t="s">
        <v>10</v>
      </c>
    </row>
    <row r="712">
      <c r="A712" s="5" t="str">
        <f>IFERROR(__xludf.DUMMYFUNCTION("""COMPUTED_VALUE"""),"DBP02000710")</f>
        <v>DBP02000710</v>
      </c>
      <c r="B712" s="5" t="str">
        <f>IFERROR(__xludf.DUMMYFUNCTION("""COMPUTED_VALUE"""),"pangestu.rinjani@gmail.com")</f>
        <v>pangestu.rinjani@gmail.com</v>
      </c>
      <c r="C712" s="3">
        <v>222222.0</v>
      </c>
      <c r="D712" s="3" t="s">
        <v>8</v>
      </c>
      <c r="E712" s="3" t="s">
        <v>9</v>
      </c>
      <c r="F712" s="3" t="s">
        <v>10</v>
      </c>
    </row>
    <row r="713">
      <c r="A713" s="5" t="str">
        <f>IFERROR(__xludf.DUMMYFUNCTION("""COMPUTED_VALUE"""),"DBP02000711")</f>
        <v>DBP02000711</v>
      </c>
      <c r="B713" s="5" t="str">
        <f>IFERROR(__xludf.DUMMYFUNCTION("""COMPUTED_VALUE"""),"p.sutejo99@gmail.com")</f>
        <v>p.sutejo99@gmail.com</v>
      </c>
      <c r="C713" s="3">
        <v>222222.0</v>
      </c>
      <c r="D713" s="3" t="s">
        <v>8</v>
      </c>
      <c r="E713" s="3" t="s">
        <v>9</v>
      </c>
      <c r="F713" s="3" t="s">
        <v>10</v>
      </c>
    </row>
    <row r="714">
      <c r="A714" s="5" t="str">
        <f>IFERROR(__xludf.DUMMYFUNCTION("""COMPUTED_VALUE"""),"DBP02000712")</f>
        <v>DBP02000712</v>
      </c>
      <c r="B714" s="5" t="str">
        <f>IFERROR(__xludf.DUMMYFUNCTION("""COMPUTED_VALUE"""),"raihand1996@gmail.com")</f>
        <v>raihand1996@gmail.com</v>
      </c>
      <c r="C714" s="3">
        <v>222222.0</v>
      </c>
      <c r="D714" s="3" t="s">
        <v>8</v>
      </c>
      <c r="E714" s="3" t="s">
        <v>9</v>
      </c>
      <c r="F714" s="3" t="s">
        <v>10</v>
      </c>
    </row>
    <row r="715">
      <c r="A715" s="5" t="str">
        <f>IFERROR(__xludf.DUMMYFUNCTION("""COMPUTED_VALUE"""),"DBP02000713")</f>
        <v>DBP02000713</v>
      </c>
      <c r="B715" s="5" t="str">
        <f>IFERROR(__xludf.DUMMYFUNCTION("""COMPUTED_VALUE"""),"dodi.wisdiansyah@gmail.com")</f>
        <v>dodi.wisdiansyah@gmail.com</v>
      </c>
      <c r="C715" s="3">
        <v>222222.0</v>
      </c>
      <c r="D715" s="3" t="s">
        <v>8</v>
      </c>
      <c r="E715" s="3" t="s">
        <v>9</v>
      </c>
      <c r="F715" s="3" t="s">
        <v>10</v>
      </c>
    </row>
    <row r="716">
      <c r="A716" s="5" t="str">
        <f>IFERROR(__xludf.DUMMYFUNCTION("""COMPUTED_VALUE"""),"DBP02000714")</f>
        <v>DBP02000714</v>
      </c>
      <c r="B716" s="5" t="str">
        <f>IFERROR(__xludf.DUMMYFUNCTION("""COMPUTED_VALUE"""),"alfian.harida.maulana@gmail.com")</f>
        <v>alfian.harida.maulana@gmail.com</v>
      </c>
      <c r="C716" s="3">
        <v>222222.0</v>
      </c>
      <c r="D716" s="3" t="s">
        <v>8</v>
      </c>
      <c r="E716" s="3" t="s">
        <v>9</v>
      </c>
      <c r="F716" s="3" t="s">
        <v>10</v>
      </c>
    </row>
    <row r="717">
      <c r="A717" s="5" t="str">
        <f>IFERROR(__xludf.DUMMYFUNCTION("""COMPUTED_VALUE"""),"DBP02000715")</f>
        <v>DBP02000715</v>
      </c>
      <c r="B717" s="5" t="str">
        <f>IFERROR(__xludf.DUMMYFUNCTION("""COMPUTED_VALUE"""),"k.annisaintan@gmail.com")</f>
        <v>k.annisaintan@gmail.com</v>
      </c>
      <c r="C717" s="3">
        <v>222222.0</v>
      </c>
      <c r="D717" s="3" t="s">
        <v>8</v>
      </c>
      <c r="E717" s="3" t="s">
        <v>9</v>
      </c>
      <c r="F717" s="3" t="s">
        <v>10</v>
      </c>
    </row>
    <row r="718">
      <c r="A718" s="5" t="str">
        <f>IFERROR(__xludf.DUMMYFUNCTION("""COMPUTED_VALUE"""),"DBP02000716")</f>
        <v>DBP02000716</v>
      </c>
      <c r="B718" s="5" t="str">
        <f>IFERROR(__xludf.DUMMYFUNCTION("""COMPUTED_VALUE"""),"deianasuherlan@gmail.com")</f>
        <v>deianasuherlan@gmail.com</v>
      </c>
      <c r="C718" s="3">
        <v>222222.0</v>
      </c>
      <c r="D718" s="3" t="s">
        <v>8</v>
      </c>
      <c r="E718" s="3" t="s">
        <v>9</v>
      </c>
      <c r="F718" s="3" t="s">
        <v>10</v>
      </c>
    </row>
    <row r="719">
      <c r="A719" s="5" t="str">
        <f>IFERROR(__xludf.DUMMYFUNCTION("""COMPUTED_VALUE"""),"DBP02000717")</f>
        <v>DBP02000717</v>
      </c>
      <c r="B719" s="5" t="str">
        <f>IFERROR(__xludf.DUMMYFUNCTION("""COMPUTED_VALUE"""),"dyahayupurbasari9@gmail.com")</f>
        <v>dyahayupurbasari9@gmail.com</v>
      </c>
      <c r="C719" s="3">
        <v>222222.0</v>
      </c>
      <c r="D719" s="3" t="s">
        <v>8</v>
      </c>
      <c r="E719" s="3" t="s">
        <v>9</v>
      </c>
      <c r="F719" s="3" t="s">
        <v>10</v>
      </c>
    </row>
    <row r="720">
      <c r="A720" s="5" t="str">
        <f>IFERROR(__xludf.DUMMYFUNCTION("""COMPUTED_VALUE"""),"DBP02000718")</f>
        <v>DBP02000718</v>
      </c>
      <c r="B720" s="5" t="str">
        <f>IFERROR(__xludf.DUMMYFUNCTION("""COMPUTED_VALUE"""),"davidchristiananugerah@gmail.com")</f>
        <v>davidchristiananugerah@gmail.com</v>
      </c>
      <c r="C720" s="3">
        <v>222222.0</v>
      </c>
      <c r="D720" s="3" t="s">
        <v>8</v>
      </c>
      <c r="E720" s="3" t="s">
        <v>9</v>
      </c>
      <c r="F720" s="3" t="s">
        <v>10</v>
      </c>
    </row>
    <row r="721">
      <c r="A721" s="5" t="str">
        <f>IFERROR(__xludf.DUMMYFUNCTION("""COMPUTED_VALUE"""),"DBP02000719")</f>
        <v>DBP02000719</v>
      </c>
      <c r="B721" s="5" t="str">
        <f>IFERROR(__xludf.DUMMYFUNCTION("""COMPUTED_VALUE"""),"celineclaudiar18@gmail.com")</f>
        <v>celineclaudiar18@gmail.com</v>
      </c>
      <c r="C721" s="3">
        <v>222222.0</v>
      </c>
      <c r="D721" s="3" t="s">
        <v>8</v>
      </c>
      <c r="E721" s="3" t="s">
        <v>9</v>
      </c>
      <c r="F721" s="3" t="s">
        <v>10</v>
      </c>
    </row>
    <row r="722">
      <c r="A722" s="5" t="str">
        <f>IFERROR(__xludf.DUMMYFUNCTION("""COMPUTED_VALUE"""),"DBP02000720")</f>
        <v>DBP02000720</v>
      </c>
      <c r="B722" s="5" t="str">
        <f>IFERROR(__xludf.DUMMYFUNCTION("""COMPUTED_VALUE"""),"elvinazahrahr@gmail.com")</f>
        <v>elvinazahrahr@gmail.com</v>
      </c>
      <c r="C722" s="3">
        <v>222222.0</v>
      </c>
      <c r="D722" s="3" t="s">
        <v>8</v>
      </c>
      <c r="E722" s="3" t="s">
        <v>9</v>
      </c>
      <c r="F722" s="3" t="s">
        <v>10</v>
      </c>
    </row>
    <row r="723">
      <c r="A723" s="5" t="str">
        <f>IFERROR(__xludf.DUMMYFUNCTION("""COMPUTED_VALUE"""),"DBP02000721")</f>
        <v>DBP02000721</v>
      </c>
      <c r="B723" s="5" t="str">
        <f>IFERROR(__xludf.DUMMYFUNCTION("""COMPUTED_VALUE"""),"gvanlex93@gmail.com")</f>
        <v>gvanlex93@gmail.com</v>
      </c>
      <c r="C723" s="3">
        <v>222222.0</v>
      </c>
      <c r="D723" s="3" t="s">
        <v>8</v>
      </c>
      <c r="E723" s="3" t="s">
        <v>9</v>
      </c>
      <c r="F723" s="3" t="s">
        <v>10</v>
      </c>
    </row>
    <row r="724">
      <c r="A724" s="5" t="str">
        <f>IFERROR(__xludf.DUMMYFUNCTION("""COMPUTED_VALUE"""),"DBP02000722")</f>
        <v>DBP02000722</v>
      </c>
      <c r="B724" s="5" t="str">
        <f>IFERROR(__xludf.DUMMYFUNCTION("""COMPUTED_VALUE"""),"aqilasalsabilamarzuki@gmail.com")</f>
        <v>aqilasalsabilamarzuki@gmail.com</v>
      </c>
      <c r="C724" s="3">
        <v>222222.0</v>
      </c>
      <c r="D724" s="3" t="s">
        <v>8</v>
      </c>
      <c r="E724" s="3" t="s">
        <v>9</v>
      </c>
      <c r="F724" s="3" t="s">
        <v>10</v>
      </c>
    </row>
    <row r="725">
      <c r="A725" s="5" t="str">
        <f>IFERROR(__xludf.DUMMYFUNCTION("""COMPUTED_VALUE"""),"DBP02000723")</f>
        <v>DBP02000723</v>
      </c>
      <c r="B725" s="5" t="str">
        <f>IFERROR(__xludf.DUMMYFUNCTION("""COMPUTED_VALUE"""),"gokusyahlidiii@gmail.com")</f>
        <v>gokusyahlidiii@gmail.com</v>
      </c>
      <c r="C725" s="3">
        <v>222222.0</v>
      </c>
      <c r="D725" s="3" t="s">
        <v>8</v>
      </c>
      <c r="E725" s="3" t="s">
        <v>9</v>
      </c>
      <c r="F725" s="3" t="s">
        <v>10</v>
      </c>
    </row>
    <row r="726">
      <c r="A726" s="5" t="str">
        <f>IFERROR(__xludf.DUMMYFUNCTION("""COMPUTED_VALUE"""),"DBP02000724")</f>
        <v>DBP02000724</v>
      </c>
      <c r="B726" s="5" t="str">
        <f>IFERROR(__xludf.DUMMYFUNCTION("""COMPUTED_VALUE"""),"fajrudinsauqi@gmail.com")</f>
        <v>fajrudinsauqi@gmail.com</v>
      </c>
      <c r="C726" s="3">
        <v>222222.0</v>
      </c>
      <c r="D726" s="3" t="s">
        <v>8</v>
      </c>
      <c r="E726" s="3" t="s">
        <v>9</v>
      </c>
      <c r="F726" s="3" t="s">
        <v>10</v>
      </c>
    </row>
    <row r="727">
      <c r="A727" s="5" t="str">
        <f>IFERROR(__xludf.DUMMYFUNCTION("""COMPUTED_VALUE"""),"DBP02000725")</f>
        <v>DBP02000725</v>
      </c>
      <c r="B727" s="5" t="str">
        <f>IFERROR(__xludf.DUMMYFUNCTION("""COMPUTED_VALUE"""),"kireyteriaisme@gmail.com")</f>
        <v>kireyteriaisme@gmail.com</v>
      </c>
      <c r="C727" s="3">
        <v>222222.0</v>
      </c>
      <c r="D727" s="3" t="s">
        <v>8</v>
      </c>
      <c r="E727" s="3" t="s">
        <v>9</v>
      </c>
      <c r="F727" s="3" t="s">
        <v>10</v>
      </c>
    </row>
    <row r="728">
      <c r="A728" s="5" t="str">
        <f>IFERROR(__xludf.DUMMYFUNCTION("""COMPUTED_VALUE"""),"DBP02000726")</f>
        <v>DBP02000726</v>
      </c>
      <c r="B728" s="5" t="str">
        <f>IFERROR(__xludf.DUMMYFUNCTION("""COMPUTED_VALUE"""),"lindaseptianisebianto041@gmail.com")</f>
        <v>lindaseptianisebianto041@gmail.com</v>
      </c>
      <c r="C728" s="3">
        <v>222222.0</v>
      </c>
      <c r="D728" s="3" t="s">
        <v>8</v>
      </c>
      <c r="E728" s="3" t="s">
        <v>9</v>
      </c>
      <c r="F728" s="3" t="s">
        <v>10</v>
      </c>
    </row>
    <row r="729">
      <c r="A729" s="5" t="str">
        <f>IFERROR(__xludf.DUMMYFUNCTION("""COMPUTED_VALUE"""),"DBP02000727")</f>
        <v>DBP02000727</v>
      </c>
      <c r="B729" s="5" t="str">
        <f>IFERROR(__xludf.DUMMYFUNCTION("""COMPUTED_VALUE"""),"rifhara19@gmail.com")</f>
        <v>rifhara19@gmail.com</v>
      </c>
      <c r="C729" s="3">
        <v>222222.0</v>
      </c>
      <c r="D729" s="3" t="s">
        <v>8</v>
      </c>
      <c r="E729" s="3" t="s">
        <v>9</v>
      </c>
      <c r="F729" s="3" t="s">
        <v>10</v>
      </c>
    </row>
    <row r="730">
      <c r="A730" s="5" t="str">
        <f>IFERROR(__xludf.DUMMYFUNCTION("""COMPUTED_VALUE"""),"DBP02000728")</f>
        <v>DBP02000728</v>
      </c>
      <c r="B730" s="5" t="str">
        <f>IFERROR(__xludf.DUMMYFUNCTION("""COMPUTED_VALUE"""),"nabilrohman10@gmail.com")</f>
        <v>nabilrohman10@gmail.com</v>
      </c>
      <c r="C730" s="3">
        <v>222222.0</v>
      </c>
      <c r="D730" s="3" t="s">
        <v>8</v>
      </c>
      <c r="E730" s="3" t="s">
        <v>9</v>
      </c>
      <c r="F730" s="3" t="s">
        <v>10</v>
      </c>
    </row>
    <row r="731">
      <c r="A731" s="5" t="str">
        <f>IFERROR(__xludf.DUMMYFUNCTION("""COMPUTED_VALUE"""),"DBP02000729")</f>
        <v>DBP02000729</v>
      </c>
      <c r="B731" s="5" t="str">
        <f>IFERROR(__xludf.DUMMYFUNCTION("""COMPUTED_VALUE"""),"cistasavv@gmail.com")</f>
        <v>cistasavv@gmail.com</v>
      </c>
      <c r="C731" s="3">
        <v>222222.0</v>
      </c>
      <c r="D731" s="3" t="s">
        <v>8</v>
      </c>
      <c r="E731" s="3" t="s">
        <v>9</v>
      </c>
      <c r="F731" s="3" t="s">
        <v>10</v>
      </c>
    </row>
    <row r="732">
      <c r="A732" s="5" t="str">
        <f>IFERROR(__xludf.DUMMYFUNCTION("""COMPUTED_VALUE"""),"DBP02000730")</f>
        <v>DBP02000730</v>
      </c>
      <c r="B732" s="5" t="str">
        <f>IFERROR(__xludf.DUMMYFUNCTION("""COMPUTED_VALUE"""),"josuaorlandoman@gmail.com")</f>
        <v>josuaorlandoman@gmail.com</v>
      </c>
      <c r="C732" s="3">
        <v>222222.0</v>
      </c>
      <c r="D732" s="3" t="s">
        <v>8</v>
      </c>
      <c r="E732" s="3" t="s">
        <v>9</v>
      </c>
      <c r="F732" s="3" t="s">
        <v>10</v>
      </c>
    </row>
    <row r="733">
      <c r="A733" s="5" t="str">
        <f>IFERROR(__xludf.DUMMYFUNCTION("""COMPUTED_VALUE"""),"DBP02000731")</f>
        <v>DBP02000731</v>
      </c>
      <c r="B733" s="5" t="str">
        <f>IFERROR(__xludf.DUMMYFUNCTION("""COMPUTED_VALUE"""),"pandupratamanur@gmail.com")</f>
        <v>pandupratamanur@gmail.com</v>
      </c>
      <c r="C733" s="3">
        <v>222222.0</v>
      </c>
      <c r="D733" s="3" t="s">
        <v>8</v>
      </c>
      <c r="E733" s="3" t="s">
        <v>9</v>
      </c>
      <c r="F733" s="3" t="s">
        <v>10</v>
      </c>
    </row>
    <row r="734">
      <c r="A734" s="5" t="str">
        <f>IFERROR(__xludf.DUMMYFUNCTION("""COMPUTED_VALUE"""),"DBP02000732")</f>
        <v>DBP02000732</v>
      </c>
      <c r="B734" s="5" t="str">
        <f>IFERROR(__xludf.DUMMYFUNCTION("""COMPUTED_VALUE"""),"qo2m.gerak11@gmail.com")</f>
        <v>qo2m.gerak11@gmail.com</v>
      </c>
      <c r="C734" s="3">
        <v>222222.0</v>
      </c>
      <c r="D734" s="3" t="s">
        <v>8</v>
      </c>
      <c r="E734" s="3" t="s">
        <v>9</v>
      </c>
      <c r="F734" s="3" t="s">
        <v>10</v>
      </c>
    </row>
    <row r="735">
      <c r="A735" s="5" t="str">
        <f>IFERROR(__xludf.DUMMYFUNCTION("""COMPUTED_VALUE"""),"DBP02000733")</f>
        <v>DBP02000733</v>
      </c>
      <c r="B735" s="5" t="str">
        <f>IFERROR(__xludf.DUMMYFUNCTION("""COMPUTED_VALUE"""),"revaakmal97@gmail.com")</f>
        <v>revaakmal97@gmail.com</v>
      </c>
      <c r="C735" s="3">
        <v>222222.0</v>
      </c>
      <c r="D735" s="3" t="s">
        <v>8</v>
      </c>
      <c r="E735" s="3" t="s">
        <v>9</v>
      </c>
      <c r="F735" s="3" t="s">
        <v>10</v>
      </c>
    </row>
    <row r="736">
      <c r="A736" s="5" t="str">
        <f>IFERROR(__xludf.DUMMYFUNCTION("""COMPUTED_VALUE"""),"DBP02000734")</f>
        <v>DBP02000734</v>
      </c>
      <c r="B736" s="5" t="str">
        <f>IFERROR(__xludf.DUMMYFUNCTION("""COMPUTED_VALUE"""),"shafayonda@gmail.com")</f>
        <v>shafayonda@gmail.com</v>
      </c>
      <c r="C736" s="3">
        <v>222222.0</v>
      </c>
      <c r="D736" s="3" t="s">
        <v>8</v>
      </c>
      <c r="E736" s="3" t="s">
        <v>9</v>
      </c>
      <c r="F736" s="3" t="s">
        <v>10</v>
      </c>
    </row>
    <row r="737">
      <c r="A737" s="5" t="str">
        <f>IFERROR(__xludf.DUMMYFUNCTION("""COMPUTED_VALUE"""),"DBP02000735")</f>
        <v>DBP02000735</v>
      </c>
      <c r="B737" s="5" t="str">
        <f>IFERROR(__xludf.DUMMYFUNCTION("""COMPUTED_VALUE"""),"ik.raihanabidin@gmail.com")</f>
        <v>ik.raihanabidin@gmail.com</v>
      </c>
      <c r="C737" s="3">
        <v>222222.0</v>
      </c>
      <c r="D737" s="3" t="s">
        <v>8</v>
      </c>
      <c r="E737" s="3" t="s">
        <v>9</v>
      </c>
      <c r="F737" s="3" t="s">
        <v>10</v>
      </c>
    </row>
    <row r="738">
      <c r="A738" s="5" t="str">
        <f>IFERROR(__xludf.DUMMYFUNCTION("""COMPUTED_VALUE"""),"DBP02000736")</f>
        <v>DBP02000736</v>
      </c>
      <c r="B738" s="5" t="str">
        <f>IFERROR(__xludf.DUMMYFUNCTION("""COMPUTED_VALUE"""),"rezamfitra@gmail.com")</f>
        <v>rezamfitra@gmail.com</v>
      </c>
      <c r="C738" s="3">
        <v>222222.0</v>
      </c>
      <c r="D738" s="3" t="s">
        <v>8</v>
      </c>
      <c r="E738" s="3" t="s">
        <v>9</v>
      </c>
      <c r="F738" s="3" t="s">
        <v>10</v>
      </c>
    </row>
    <row r="739">
      <c r="A739" s="5" t="str">
        <f>IFERROR(__xludf.DUMMYFUNCTION("""COMPUTED_VALUE"""),"DBP02000737")</f>
        <v>DBP02000737</v>
      </c>
      <c r="B739" s="5" t="str">
        <f>IFERROR(__xludf.DUMMYFUNCTION("""COMPUTED_VALUE"""),"luckychristian1122@gmail.com")</f>
        <v>luckychristian1122@gmail.com</v>
      </c>
      <c r="C739" s="3">
        <v>222222.0</v>
      </c>
      <c r="D739" s="3" t="s">
        <v>8</v>
      </c>
      <c r="E739" s="3" t="s">
        <v>9</v>
      </c>
      <c r="F739" s="3" t="s">
        <v>10</v>
      </c>
    </row>
    <row r="740">
      <c r="A740" s="5" t="str">
        <f>IFERROR(__xludf.DUMMYFUNCTION("""COMPUTED_VALUE"""),"DBP02000738")</f>
        <v>DBP02000738</v>
      </c>
      <c r="B740" s="5" t="str">
        <f>IFERROR(__xludf.DUMMYFUNCTION("""COMPUTED_VALUE"""),"arsynada8@gmail.com")</f>
        <v>arsynada8@gmail.com</v>
      </c>
      <c r="C740" s="3">
        <v>222222.0</v>
      </c>
      <c r="D740" s="3" t="s">
        <v>8</v>
      </c>
      <c r="E740" s="3" t="s">
        <v>9</v>
      </c>
      <c r="F740" s="3" t="s">
        <v>10</v>
      </c>
    </row>
    <row r="741">
      <c r="A741" s="5" t="str">
        <f>IFERROR(__xludf.DUMMYFUNCTION("""COMPUTED_VALUE"""),"DBP02000739")</f>
        <v>DBP02000739</v>
      </c>
      <c r="B741" s="5" t="str">
        <f>IFERROR(__xludf.DUMMYFUNCTION("""COMPUTED_VALUE"""),"masdaud11semart@gmail.com")</f>
        <v>masdaud11semart@gmail.com</v>
      </c>
      <c r="C741" s="3">
        <v>222222.0</v>
      </c>
      <c r="D741" s="3" t="s">
        <v>8</v>
      </c>
      <c r="E741" s="3" t="s">
        <v>9</v>
      </c>
      <c r="F741" s="3" t="s">
        <v>10</v>
      </c>
    </row>
    <row r="742">
      <c r="A742" s="5" t="str">
        <f>IFERROR(__xludf.DUMMYFUNCTION("""COMPUTED_VALUE"""),"DBP02000740")</f>
        <v>DBP02000740</v>
      </c>
      <c r="B742" s="5" t="str">
        <f>IFERROR(__xludf.DUMMYFUNCTION("""COMPUTED_VALUE"""),"angelinawibowo24@gmail.com")</f>
        <v>angelinawibowo24@gmail.com</v>
      </c>
      <c r="C742" s="3">
        <v>222222.0</v>
      </c>
      <c r="D742" s="3" t="s">
        <v>8</v>
      </c>
      <c r="E742" s="3" t="s">
        <v>9</v>
      </c>
      <c r="F742" s="3" t="s">
        <v>10</v>
      </c>
    </row>
    <row r="743">
      <c r="A743" s="5" t="str">
        <f>IFERROR(__xludf.DUMMYFUNCTION("""COMPUTED_VALUE"""),"DBP02000741")</f>
        <v>DBP02000741</v>
      </c>
      <c r="B743" s="5" t="str">
        <f>IFERROR(__xludf.DUMMYFUNCTION("""COMPUTED_VALUE"""),"aikszamzami03@gmail.com")</f>
        <v>aikszamzami03@gmail.com</v>
      </c>
      <c r="C743" s="3">
        <v>222222.0</v>
      </c>
      <c r="D743" s="3" t="s">
        <v>8</v>
      </c>
      <c r="E743" s="3" t="s">
        <v>9</v>
      </c>
      <c r="F743" s="3" t="s">
        <v>10</v>
      </c>
    </row>
    <row r="744">
      <c r="A744" s="5" t="str">
        <f>IFERROR(__xludf.DUMMYFUNCTION("""COMPUTED_VALUE"""),"DBP02000742")</f>
        <v>DBP02000742</v>
      </c>
      <c r="B744" s="5" t="str">
        <f>IFERROR(__xludf.DUMMYFUNCTION("""COMPUTED_VALUE"""),"annisaartanti77@gmail.com")</f>
        <v>annisaartanti77@gmail.com</v>
      </c>
      <c r="C744" s="3">
        <v>222222.0</v>
      </c>
      <c r="D744" s="3" t="s">
        <v>8</v>
      </c>
      <c r="E744" s="3" t="s">
        <v>9</v>
      </c>
      <c r="F744" s="3" t="s">
        <v>10</v>
      </c>
    </row>
    <row r="745">
      <c r="A745" s="5" t="str">
        <f>IFERROR(__xludf.DUMMYFUNCTION("""COMPUTED_VALUE"""),"DBP02000743")</f>
        <v>DBP02000743</v>
      </c>
      <c r="B745" s="5" t="str">
        <f>IFERROR(__xludf.DUMMYFUNCTION("""COMPUTED_VALUE"""),"lukybayu@gmail.com")</f>
        <v>lukybayu@gmail.com</v>
      </c>
      <c r="C745" s="3">
        <v>222222.0</v>
      </c>
      <c r="D745" s="3" t="s">
        <v>8</v>
      </c>
      <c r="E745" s="3" t="s">
        <v>9</v>
      </c>
      <c r="F745" s="3" t="s">
        <v>10</v>
      </c>
    </row>
    <row r="746">
      <c r="A746" s="5" t="str">
        <f>IFERROR(__xludf.DUMMYFUNCTION("""COMPUTED_VALUE"""),"DBP02000744")</f>
        <v>DBP02000744</v>
      </c>
      <c r="B746" s="5" t="str">
        <f>IFERROR(__xludf.DUMMYFUNCTION("""COMPUTED_VALUE"""),"salsa.kirana@gmail.com")</f>
        <v>salsa.kirana@gmail.com</v>
      </c>
      <c r="C746" s="3">
        <v>222222.0</v>
      </c>
      <c r="D746" s="3" t="s">
        <v>8</v>
      </c>
      <c r="E746" s="3" t="s">
        <v>9</v>
      </c>
      <c r="F746" s="3" t="s">
        <v>10</v>
      </c>
    </row>
    <row r="747">
      <c r="A747" s="5" t="str">
        <f>IFERROR(__xludf.DUMMYFUNCTION("""COMPUTED_VALUE"""),"DBP02000745")</f>
        <v>DBP02000745</v>
      </c>
      <c r="B747" s="5" t="str">
        <f>IFERROR(__xludf.DUMMYFUNCTION("""COMPUTED_VALUE"""),"firmanwm2@gmail.com")</f>
        <v>firmanwm2@gmail.com</v>
      </c>
      <c r="C747" s="3">
        <v>222222.0</v>
      </c>
      <c r="D747" s="3" t="s">
        <v>8</v>
      </c>
      <c r="E747" s="3" t="s">
        <v>9</v>
      </c>
      <c r="F747" s="3" t="s">
        <v>10</v>
      </c>
    </row>
    <row r="748">
      <c r="A748" s="5" t="str">
        <f>IFERROR(__xludf.DUMMYFUNCTION("""COMPUTED_VALUE"""),"DBP02000746")</f>
        <v>DBP02000746</v>
      </c>
      <c r="B748" s="5" t="str">
        <f>IFERROR(__xludf.DUMMYFUNCTION("""COMPUTED_VALUE"""),"ekoari811@gmail.com")</f>
        <v>ekoari811@gmail.com</v>
      </c>
      <c r="C748" s="3">
        <v>222222.0</v>
      </c>
      <c r="D748" s="3" t="s">
        <v>8</v>
      </c>
      <c r="E748" s="3" t="s">
        <v>9</v>
      </c>
      <c r="F748" s="3" t="s">
        <v>10</v>
      </c>
    </row>
    <row r="749">
      <c r="A749" s="5" t="str">
        <f>IFERROR(__xludf.DUMMYFUNCTION("""COMPUTED_VALUE"""),"DBP02000747")</f>
        <v>DBP02000747</v>
      </c>
      <c r="B749" s="5" t="str">
        <f>IFERROR(__xludf.DUMMYFUNCTION("""COMPUTED_VALUE"""),"aditagungdharma13@gmail.com")</f>
        <v>aditagungdharma13@gmail.com</v>
      </c>
      <c r="C749" s="3">
        <v>222222.0</v>
      </c>
      <c r="D749" s="3" t="s">
        <v>8</v>
      </c>
      <c r="E749" s="3" t="s">
        <v>9</v>
      </c>
      <c r="F749" s="3" t="s">
        <v>10</v>
      </c>
    </row>
    <row r="750">
      <c r="A750" s="5" t="str">
        <f>IFERROR(__xludf.DUMMYFUNCTION("""COMPUTED_VALUE"""),"DBP02000748")</f>
        <v>DBP02000748</v>
      </c>
      <c r="B750" s="5" t="str">
        <f>IFERROR(__xludf.DUMMYFUNCTION("""COMPUTED_VALUE"""),"virdaveronica08@gmail.com")</f>
        <v>virdaveronica08@gmail.com</v>
      </c>
      <c r="C750" s="3">
        <v>222222.0</v>
      </c>
      <c r="D750" s="3" t="s">
        <v>8</v>
      </c>
      <c r="E750" s="3" t="s">
        <v>9</v>
      </c>
      <c r="F750" s="3" t="s">
        <v>10</v>
      </c>
    </row>
    <row r="751">
      <c r="A751" s="5" t="str">
        <f>IFERROR(__xludf.DUMMYFUNCTION("""COMPUTED_VALUE"""),"DBP02000749")</f>
        <v>DBP02000749</v>
      </c>
      <c r="B751" s="5" t="str">
        <f>IFERROR(__xludf.DUMMYFUNCTION("""COMPUTED_VALUE"""),"monicamaudi2121@gmail.com")</f>
        <v>monicamaudi2121@gmail.com</v>
      </c>
      <c r="C751" s="3">
        <v>222222.0</v>
      </c>
      <c r="D751" s="3" t="s">
        <v>8</v>
      </c>
      <c r="E751" s="3" t="s">
        <v>9</v>
      </c>
      <c r="F751" s="3" t="s">
        <v>10</v>
      </c>
    </row>
    <row r="752">
      <c r="A752" s="5" t="str">
        <f>IFERROR(__xludf.DUMMYFUNCTION("""COMPUTED_VALUE"""),"DBP02000750")</f>
        <v>DBP02000750</v>
      </c>
      <c r="B752" s="5" t="str">
        <f>IFERROR(__xludf.DUMMYFUNCTION("""COMPUTED_VALUE"""),"tsanyaelkarima@gmail.com")</f>
        <v>tsanyaelkarima@gmail.com</v>
      </c>
      <c r="C752" s="3">
        <v>222222.0</v>
      </c>
      <c r="D752" s="3" t="s">
        <v>8</v>
      </c>
      <c r="E752" s="3" t="s">
        <v>9</v>
      </c>
      <c r="F752" s="3" t="s">
        <v>10</v>
      </c>
    </row>
    <row r="753">
      <c r="A753" s="5" t="str">
        <f>IFERROR(__xludf.DUMMYFUNCTION("""COMPUTED_VALUE"""),"DBP02000751")</f>
        <v>DBP02000751</v>
      </c>
      <c r="B753" s="5" t="str">
        <f>IFERROR(__xludf.DUMMYFUNCTION("""COMPUTED_VALUE"""),"muallimakademik@gmail.com")</f>
        <v>muallimakademik@gmail.com</v>
      </c>
      <c r="C753" s="3">
        <v>222222.0</v>
      </c>
      <c r="D753" s="3" t="s">
        <v>8</v>
      </c>
      <c r="E753" s="3" t="s">
        <v>9</v>
      </c>
      <c r="F753" s="3" t="s">
        <v>10</v>
      </c>
    </row>
    <row r="754">
      <c r="A754" s="5" t="str">
        <f>IFERROR(__xludf.DUMMYFUNCTION("""COMPUTED_VALUE"""),"DBP02000752")</f>
        <v>DBP02000752</v>
      </c>
      <c r="B754" s="5" t="str">
        <f>IFERROR(__xludf.DUMMYFUNCTION("""COMPUTED_VALUE"""),"latifahlatifah9606@gmail.com")</f>
        <v>latifahlatifah9606@gmail.com</v>
      </c>
      <c r="C754" s="3">
        <v>222222.0</v>
      </c>
      <c r="D754" s="3" t="s">
        <v>8</v>
      </c>
      <c r="E754" s="3" t="s">
        <v>9</v>
      </c>
      <c r="F754" s="3" t="s">
        <v>10</v>
      </c>
    </row>
    <row r="755">
      <c r="A755" s="5" t="str">
        <f>IFERROR(__xludf.DUMMYFUNCTION("""COMPUTED_VALUE"""),"DBP02000753")</f>
        <v>DBP02000753</v>
      </c>
      <c r="B755" s="5" t="str">
        <f>IFERROR(__xludf.DUMMYFUNCTION("""COMPUTED_VALUE"""),"fdseptiana@gmail.com")</f>
        <v>fdseptiana@gmail.com</v>
      </c>
      <c r="C755" s="3">
        <v>222222.0</v>
      </c>
      <c r="D755" s="3" t="s">
        <v>8</v>
      </c>
      <c r="E755" s="3" t="s">
        <v>9</v>
      </c>
      <c r="F755" s="3" t="s">
        <v>10</v>
      </c>
    </row>
    <row r="756">
      <c r="A756" s="5" t="str">
        <f>IFERROR(__xludf.DUMMYFUNCTION("""COMPUTED_VALUE"""),"DBP02000754")</f>
        <v>DBP02000754</v>
      </c>
      <c r="B756" s="5" t="str">
        <f>IFERROR(__xludf.DUMMYFUNCTION("""COMPUTED_VALUE"""),"larasatianggi07@gmail.com")</f>
        <v>larasatianggi07@gmail.com</v>
      </c>
      <c r="C756" s="3">
        <v>222222.0</v>
      </c>
      <c r="D756" s="3" t="s">
        <v>8</v>
      </c>
      <c r="E756" s="3" t="s">
        <v>9</v>
      </c>
      <c r="F756" s="3" t="s">
        <v>10</v>
      </c>
    </row>
    <row r="757">
      <c r="A757" s="5" t="str">
        <f>IFERROR(__xludf.DUMMYFUNCTION("""COMPUTED_VALUE"""),"DBP02000755")</f>
        <v>DBP02000755</v>
      </c>
      <c r="B757" s="5" t="str">
        <f>IFERROR(__xludf.DUMMYFUNCTION("""COMPUTED_VALUE"""),"bondansatria16aug@gmail.com")</f>
        <v>bondansatria16aug@gmail.com</v>
      </c>
      <c r="C757" s="3">
        <v>222222.0</v>
      </c>
      <c r="D757" s="3" t="s">
        <v>8</v>
      </c>
      <c r="E757" s="3" t="s">
        <v>9</v>
      </c>
      <c r="F757" s="3" t="s">
        <v>10</v>
      </c>
    </row>
    <row r="758">
      <c r="A758" s="5" t="str">
        <f>IFERROR(__xludf.DUMMYFUNCTION("""COMPUTED_VALUE"""),"DBP02000756")</f>
        <v>DBP02000756</v>
      </c>
      <c r="B758" s="5" t="str">
        <f>IFERROR(__xludf.DUMMYFUNCTION("""COMPUTED_VALUE"""),"laurenvennock@gmail.com")</f>
        <v>laurenvennock@gmail.com</v>
      </c>
      <c r="C758" s="3">
        <v>222222.0</v>
      </c>
      <c r="D758" s="3" t="s">
        <v>8</v>
      </c>
      <c r="E758" s="3" t="s">
        <v>9</v>
      </c>
      <c r="F758" s="3" t="s">
        <v>10</v>
      </c>
    </row>
    <row r="759">
      <c r="A759" s="5" t="str">
        <f>IFERROR(__xludf.DUMMYFUNCTION("""COMPUTED_VALUE"""),"DBP02000757")</f>
        <v>DBP02000757</v>
      </c>
      <c r="B759" s="5" t="str">
        <f>IFERROR(__xludf.DUMMYFUNCTION("""COMPUTED_VALUE"""),"ria.kusumaa97@gmail.com")</f>
        <v>ria.kusumaa97@gmail.com</v>
      </c>
      <c r="C759" s="3">
        <v>222222.0</v>
      </c>
      <c r="D759" s="3" t="s">
        <v>8</v>
      </c>
      <c r="E759" s="3" t="s">
        <v>9</v>
      </c>
      <c r="F759" s="3" t="s">
        <v>10</v>
      </c>
    </row>
    <row r="760">
      <c r="A760" s="5" t="str">
        <f>IFERROR(__xludf.DUMMYFUNCTION("""COMPUTED_VALUE"""),"DBP02000758")</f>
        <v>DBP02000758</v>
      </c>
      <c r="B760" s="5" t="str">
        <f>IFERROR(__xludf.DUMMYFUNCTION("""COMPUTED_VALUE"""),"ganindra_gg@yahoo.com")</f>
        <v>ganindra_gg@yahoo.com</v>
      </c>
      <c r="C760" s="3">
        <v>222222.0</v>
      </c>
      <c r="D760" s="3" t="s">
        <v>8</v>
      </c>
      <c r="E760" s="3" t="s">
        <v>9</v>
      </c>
      <c r="F760" s="3" t="s">
        <v>10</v>
      </c>
    </row>
    <row r="761">
      <c r="A761" s="5" t="str">
        <f>IFERROR(__xludf.DUMMYFUNCTION("""COMPUTED_VALUE"""),"DBP02000759")</f>
        <v>DBP02000759</v>
      </c>
      <c r="B761" s="5" t="str">
        <f>IFERROR(__xludf.DUMMYFUNCTION("""COMPUTED_VALUE"""),"adeanugrahramadhan@gmail.com")</f>
        <v>adeanugrahramadhan@gmail.com</v>
      </c>
      <c r="C761" s="3">
        <v>222222.0</v>
      </c>
      <c r="D761" s="3" t="s">
        <v>8</v>
      </c>
      <c r="E761" s="3" t="s">
        <v>9</v>
      </c>
      <c r="F761" s="3" t="s">
        <v>10</v>
      </c>
    </row>
    <row r="762">
      <c r="A762" s="5" t="str">
        <f>IFERROR(__xludf.DUMMYFUNCTION("""COMPUTED_VALUE"""),"DBP02000760")</f>
        <v>DBP02000760</v>
      </c>
      <c r="B762" s="5" t="str">
        <f>IFERROR(__xludf.DUMMYFUNCTION("""COMPUTED_VALUE"""),"banibernadus@gmail.com")</f>
        <v>banibernadus@gmail.com</v>
      </c>
      <c r="C762" s="3">
        <v>222222.0</v>
      </c>
      <c r="D762" s="3" t="s">
        <v>8</v>
      </c>
      <c r="E762" s="3" t="s">
        <v>9</v>
      </c>
      <c r="F762" s="3" t="s">
        <v>10</v>
      </c>
    </row>
    <row r="763">
      <c r="A763" s="5" t="str">
        <f>IFERROR(__xludf.DUMMYFUNCTION("""COMPUTED_VALUE"""),"DBP02000761")</f>
        <v>DBP02000761</v>
      </c>
      <c r="B763" s="5" t="str">
        <f>IFERROR(__xludf.DUMMYFUNCTION("""COMPUTED_VALUE"""),"chitacindyn@gmail.com")</f>
        <v>chitacindyn@gmail.com</v>
      </c>
      <c r="C763" s="3">
        <v>222222.0</v>
      </c>
      <c r="D763" s="3" t="s">
        <v>8</v>
      </c>
      <c r="E763" s="3" t="s">
        <v>9</v>
      </c>
      <c r="F763" s="3" t="s">
        <v>10</v>
      </c>
    </row>
    <row r="764">
      <c r="A764" s="5" t="str">
        <f>IFERROR(__xludf.DUMMYFUNCTION("""COMPUTED_VALUE"""),"DBP02000762")</f>
        <v>DBP02000762</v>
      </c>
      <c r="B764" s="5" t="str">
        <f>IFERROR(__xludf.DUMMYFUNCTION("""COMPUTED_VALUE"""),"deaanandahp@gmail.com")</f>
        <v>deaanandahp@gmail.com</v>
      </c>
      <c r="C764" s="3">
        <v>222222.0</v>
      </c>
      <c r="D764" s="3" t="s">
        <v>8</v>
      </c>
      <c r="E764" s="3" t="s">
        <v>9</v>
      </c>
      <c r="F764" s="3" t="s">
        <v>10</v>
      </c>
    </row>
    <row r="765">
      <c r="A765" s="5" t="str">
        <f>IFERROR(__xludf.DUMMYFUNCTION("""COMPUTED_VALUE"""),"DBP02000763")</f>
        <v>DBP02000763</v>
      </c>
      <c r="B765" s="5" t="str">
        <f>IFERROR(__xludf.DUMMYFUNCTION("""COMPUTED_VALUE"""),"annisasarrah@gmail.com")</f>
        <v>annisasarrah@gmail.com</v>
      </c>
      <c r="C765" s="3">
        <v>222222.0</v>
      </c>
      <c r="D765" s="3" t="s">
        <v>8</v>
      </c>
      <c r="E765" s="3" t="s">
        <v>9</v>
      </c>
      <c r="F765" s="3" t="s">
        <v>10</v>
      </c>
    </row>
    <row r="766">
      <c r="A766" s="5" t="str">
        <f>IFERROR(__xludf.DUMMYFUNCTION("""COMPUTED_VALUE"""),"DBP02000764")</f>
        <v>DBP02000764</v>
      </c>
      <c r="B766" s="5" t="str">
        <f>IFERROR(__xludf.DUMMYFUNCTION("""COMPUTED_VALUE"""),"ivaneffendy888@gmail.com")</f>
        <v>ivaneffendy888@gmail.com</v>
      </c>
      <c r="C766" s="3">
        <v>222222.0</v>
      </c>
      <c r="D766" s="3" t="s">
        <v>8</v>
      </c>
      <c r="E766" s="3" t="s">
        <v>9</v>
      </c>
      <c r="F766" s="3" t="s">
        <v>10</v>
      </c>
    </row>
    <row r="767">
      <c r="A767" s="5" t="str">
        <f>IFERROR(__xludf.DUMMYFUNCTION("""COMPUTED_VALUE"""),"DBP02000765")</f>
        <v>DBP02000765</v>
      </c>
      <c r="B767" s="5" t="str">
        <f>IFERROR(__xludf.DUMMYFUNCTION("""COMPUTED_VALUE"""),"michaelnk553@gmail.com")</f>
        <v>michaelnk553@gmail.com</v>
      </c>
      <c r="C767" s="3">
        <v>222222.0</v>
      </c>
      <c r="D767" s="3" t="s">
        <v>8</v>
      </c>
      <c r="E767" s="3" t="s">
        <v>9</v>
      </c>
      <c r="F767" s="3" t="s">
        <v>10</v>
      </c>
    </row>
    <row r="768">
      <c r="A768" s="5" t="str">
        <f>IFERROR(__xludf.DUMMYFUNCTION("""COMPUTED_VALUE"""),"DBP02000766")</f>
        <v>DBP02000766</v>
      </c>
      <c r="B768" s="5" t="str">
        <f>IFERROR(__xludf.DUMMYFUNCTION("""COMPUTED_VALUE"""),"hilmanfaoezan@gmail.com")</f>
        <v>hilmanfaoezan@gmail.com</v>
      </c>
      <c r="C768" s="3">
        <v>222222.0</v>
      </c>
      <c r="D768" s="3" t="s">
        <v>8</v>
      </c>
      <c r="E768" s="3" t="s">
        <v>9</v>
      </c>
      <c r="F768" s="3" t="s">
        <v>10</v>
      </c>
    </row>
    <row r="769">
      <c r="A769" s="5" t="str">
        <f>IFERROR(__xludf.DUMMYFUNCTION("""COMPUTED_VALUE"""),"DBP02000767")</f>
        <v>DBP02000767</v>
      </c>
      <c r="B769" s="5" t="str">
        <f>IFERROR(__xludf.DUMMYFUNCTION("""COMPUTED_VALUE"""),"zulprofesional@gmail.com")</f>
        <v>zulprofesional@gmail.com</v>
      </c>
      <c r="C769" s="3">
        <v>222222.0</v>
      </c>
      <c r="D769" s="3" t="s">
        <v>8</v>
      </c>
      <c r="E769" s="3" t="s">
        <v>9</v>
      </c>
      <c r="F769" s="3" t="s">
        <v>10</v>
      </c>
    </row>
    <row r="770">
      <c r="A770" s="5" t="str">
        <f>IFERROR(__xludf.DUMMYFUNCTION("""COMPUTED_VALUE"""),"DBP02000768")</f>
        <v>DBP02000768</v>
      </c>
      <c r="B770" s="5" t="str">
        <f>IFERROR(__xludf.DUMMYFUNCTION("""COMPUTED_VALUE"""),"srihanajalilah02@gmail.com")</f>
        <v>srihanajalilah02@gmail.com</v>
      </c>
      <c r="C770" s="3">
        <v>222222.0</v>
      </c>
      <c r="D770" s="3" t="s">
        <v>8</v>
      </c>
      <c r="E770" s="3" t="s">
        <v>9</v>
      </c>
      <c r="F770" s="3" t="s">
        <v>10</v>
      </c>
    </row>
    <row r="771">
      <c r="A771" s="5" t="str">
        <f>IFERROR(__xludf.DUMMYFUNCTION("""COMPUTED_VALUE"""),"DBP02000769")</f>
        <v>DBP02000769</v>
      </c>
      <c r="B771" s="5" t="str">
        <f>IFERROR(__xludf.DUMMYFUNCTION("""COMPUTED_VALUE"""),"zhafiraalya11@gmail.com")</f>
        <v>zhafiraalya11@gmail.com</v>
      </c>
      <c r="C771" s="3">
        <v>222222.0</v>
      </c>
      <c r="D771" s="3" t="s">
        <v>8</v>
      </c>
      <c r="E771" s="3" t="s">
        <v>9</v>
      </c>
      <c r="F771" s="3" t="s">
        <v>10</v>
      </c>
    </row>
    <row r="772">
      <c r="A772" s="5" t="str">
        <f>IFERROR(__xludf.DUMMYFUNCTION("""COMPUTED_VALUE"""),"DBP02000770")</f>
        <v>DBP02000770</v>
      </c>
      <c r="B772" s="5" t="str">
        <f>IFERROR(__xludf.DUMMYFUNCTION("""COMPUTED_VALUE"""),"radityaarsadera@gmail.com")</f>
        <v>radityaarsadera@gmail.com</v>
      </c>
      <c r="C772" s="3">
        <v>222222.0</v>
      </c>
      <c r="D772" s="3" t="s">
        <v>8</v>
      </c>
      <c r="E772" s="3" t="s">
        <v>9</v>
      </c>
      <c r="F772" s="3" t="s">
        <v>10</v>
      </c>
    </row>
    <row r="773">
      <c r="A773" s="5" t="str">
        <f>IFERROR(__xludf.DUMMYFUNCTION("""COMPUTED_VALUE"""),"DBP02000771")</f>
        <v>DBP02000771</v>
      </c>
      <c r="B773" s="5" t="str">
        <f>IFERROR(__xludf.DUMMYFUNCTION("""COMPUTED_VALUE"""),"siregar.angelina@gmail.com")</f>
        <v>siregar.angelina@gmail.com</v>
      </c>
      <c r="C773" s="3">
        <v>222222.0</v>
      </c>
      <c r="D773" s="3" t="s">
        <v>8</v>
      </c>
      <c r="E773" s="3" t="s">
        <v>9</v>
      </c>
      <c r="F773" s="3" t="s">
        <v>10</v>
      </c>
    </row>
    <row r="774">
      <c r="A774" s="5" t="str">
        <f>IFERROR(__xludf.DUMMYFUNCTION("""COMPUTED_VALUE"""),"DBP02000772")</f>
        <v>DBP02000772</v>
      </c>
      <c r="B774" s="5" t="str">
        <f>IFERROR(__xludf.DUMMYFUNCTION("""COMPUTED_VALUE"""),"aawwalun46@gmail.com")</f>
        <v>aawwalun46@gmail.com</v>
      </c>
      <c r="C774" s="3">
        <v>222222.0</v>
      </c>
      <c r="D774" s="3" t="s">
        <v>8</v>
      </c>
      <c r="E774" s="3" t="s">
        <v>9</v>
      </c>
      <c r="F774" s="3" t="s">
        <v>10</v>
      </c>
    </row>
    <row r="775">
      <c r="A775" s="5" t="str">
        <f>IFERROR(__xludf.DUMMYFUNCTION("""COMPUTED_VALUE"""),"DBP02000773")</f>
        <v>DBP02000773</v>
      </c>
      <c r="B775" s="5" t="str">
        <f>IFERROR(__xludf.DUMMYFUNCTION("""COMPUTED_VALUE"""),"putrantyw@gmail.com")</f>
        <v>putrantyw@gmail.com</v>
      </c>
      <c r="C775" s="3">
        <v>222222.0</v>
      </c>
      <c r="D775" s="3" t="s">
        <v>8</v>
      </c>
      <c r="E775" s="3" t="s">
        <v>9</v>
      </c>
      <c r="F775" s="3" t="s">
        <v>10</v>
      </c>
    </row>
    <row r="776">
      <c r="A776" s="5" t="str">
        <f>IFERROR(__xludf.DUMMYFUNCTION("""COMPUTED_VALUE"""),"DBP02000774")</f>
        <v>DBP02000774</v>
      </c>
      <c r="B776" s="5" t="str">
        <f>IFERROR(__xludf.DUMMYFUNCTION("""COMPUTED_VALUE"""),"m.ulilabshor01@gmail.com")</f>
        <v>m.ulilabshor01@gmail.com</v>
      </c>
      <c r="C776" s="3">
        <v>222222.0</v>
      </c>
      <c r="D776" s="3" t="s">
        <v>8</v>
      </c>
      <c r="E776" s="3" t="s">
        <v>9</v>
      </c>
      <c r="F776" s="3" t="s">
        <v>10</v>
      </c>
    </row>
    <row r="777">
      <c r="A777" s="5" t="str">
        <f>IFERROR(__xludf.DUMMYFUNCTION("""COMPUTED_VALUE"""),"DBP02000775")</f>
        <v>DBP02000775</v>
      </c>
      <c r="B777" s="5" t="str">
        <f>IFERROR(__xludf.DUMMYFUNCTION("""COMPUTED_VALUE"""),"deashintagumay@gmail.com")</f>
        <v>deashintagumay@gmail.com</v>
      </c>
      <c r="C777" s="3">
        <v>222222.0</v>
      </c>
      <c r="D777" s="3" t="s">
        <v>8</v>
      </c>
      <c r="E777" s="3" t="s">
        <v>9</v>
      </c>
      <c r="F777" s="3" t="s">
        <v>10</v>
      </c>
    </row>
    <row r="778">
      <c r="A778" s="5" t="str">
        <f>IFERROR(__xludf.DUMMYFUNCTION("""COMPUTED_VALUE"""),"DBP02000776")</f>
        <v>DBP02000776</v>
      </c>
      <c r="B778" s="5" t="str">
        <f>IFERROR(__xludf.DUMMYFUNCTION("""COMPUTED_VALUE"""),"gitakarina92@gmail.com")</f>
        <v>gitakarina92@gmail.com</v>
      </c>
      <c r="C778" s="3">
        <v>222222.0</v>
      </c>
      <c r="D778" s="3" t="s">
        <v>8</v>
      </c>
      <c r="E778" s="3" t="s">
        <v>9</v>
      </c>
      <c r="F778" s="3" t="s">
        <v>10</v>
      </c>
    </row>
    <row r="779">
      <c r="A779" s="5" t="str">
        <f>IFERROR(__xludf.DUMMYFUNCTION("""COMPUTED_VALUE"""),"DBP02000777")</f>
        <v>DBP02000777</v>
      </c>
      <c r="B779" s="5" t="str">
        <f>IFERROR(__xludf.DUMMYFUNCTION("""COMPUTED_VALUE"""),"arisetiawan52@gmail.com")</f>
        <v>arisetiawan52@gmail.com</v>
      </c>
      <c r="C779" s="3">
        <v>222222.0</v>
      </c>
      <c r="D779" s="3" t="s">
        <v>8</v>
      </c>
      <c r="E779" s="3" t="s">
        <v>9</v>
      </c>
      <c r="F779" s="3" t="s">
        <v>10</v>
      </c>
    </row>
    <row r="780">
      <c r="A780" s="5" t="str">
        <f>IFERROR(__xludf.DUMMYFUNCTION("""COMPUTED_VALUE"""),"DBP02000778")</f>
        <v>DBP02000778</v>
      </c>
      <c r="B780" s="5" t="str">
        <f>IFERROR(__xludf.DUMMYFUNCTION("""COMPUTED_VALUE"""),"sartikap.nur@gmail.com")</f>
        <v>sartikap.nur@gmail.com</v>
      </c>
      <c r="C780" s="3">
        <v>222222.0</v>
      </c>
      <c r="D780" s="3" t="s">
        <v>8</v>
      </c>
      <c r="E780" s="3" t="s">
        <v>9</v>
      </c>
      <c r="F780" s="3" t="s">
        <v>10</v>
      </c>
    </row>
    <row r="781">
      <c r="A781" s="5" t="str">
        <f>IFERROR(__xludf.DUMMYFUNCTION("""COMPUTED_VALUE"""),"DBP02000779")</f>
        <v>DBP02000779</v>
      </c>
      <c r="B781" s="5" t="str">
        <f>IFERROR(__xludf.DUMMYFUNCTION("""COMPUTED_VALUE"""),"silvanapanigoro2015@gmail.com")</f>
        <v>silvanapanigoro2015@gmail.com</v>
      </c>
      <c r="C781" s="3">
        <v>222222.0</v>
      </c>
      <c r="D781" s="3" t="s">
        <v>8</v>
      </c>
      <c r="E781" s="3" t="s">
        <v>9</v>
      </c>
      <c r="F781" s="3" t="s">
        <v>10</v>
      </c>
    </row>
    <row r="782">
      <c r="A782" s="5" t="str">
        <f>IFERROR(__xludf.DUMMYFUNCTION("""COMPUTED_VALUE"""),"DBP02000780")</f>
        <v>DBP02000780</v>
      </c>
      <c r="B782" s="5" t="str">
        <f>IFERROR(__xludf.DUMMYFUNCTION("""COMPUTED_VALUE"""),"ramadhanmangopa23@gmail.com")</f>
        <v>ramadhanmangopa23@gmail.com</v>
      </c>
      <c r="C782" s="3">
        <v>222222.0</v>
      </c>
      <c r="D782" s="3" t="s">
        <v>8</v>
      </c>
      <c r="E782" s="3" t="s">
        <v>9</v>
      </c>
      <c r="F782" s="3" t="s">
        <v>10</v>
      </c>
    </row>
    <row r="783">
      <c r="A783" s="5" t="str">
        <f>IFERROR(__xludf.DUMMYFUNCTION("""COMPUTED_VALUE"""),"DBP02000781")</f>
        <v>DBP02000781</v>
      </c>
      <c r="B783" s="5" t="str">
        <f>IFERROR(__xludf.DUMMYFUNCTION("""COMPUTED_VALUE"""),"dianbawenti1@gmail.com")</f>
        <v>dianbawenti1@gmail.com</v>
      </c>
      <c r="C783" s="3">
        <v>222222.0</v>
      </c>
      <c r="D783" s="3" t="s">
        <v>8</v>
      </c>
      <c r="E783" s="3" t="s">
        <v>9</v>
      </c>
      <c r="F783" s="3" t="s">
        <v>10</v>
      </c>
    </row>
    <row r="784">
      <c r="A784" s="5" t="str">
        <f>IFERROR(__xludf.DUMMYFUNCTION("""COMPUTED_VALUE"""),"DBP02000782")</f>
        <v>DBP02000782</v>
      </c>
      <c r="B784" s="5" t="str">
        <f>IFERROR(__xludf.DUMMYFUNCTION("""COMPUTED_VALUE"""),"winataaris909@gmail.com")</f>
        <v>winataaris909@gmail.com</v>
      </c>
      <c r="C784" s="3">
        <v>222222.0</v>
      </c>
      <c r="D784" s="3" t="s">
        <v>8</v>
      </c>
      <c r="E784" s="3" t="s">
        <v>9</v>
      </c>
      <c r="F784" s="3" t="s">
        <v>10</v>
      </c>
    </row>
    <row r="785">
      <c r="A785" s="5" t="str">
        <f>IFERROR(__xludf.DUMMYFUNCTION("""COMPUTED_VALUE"""),"DBP02000783")</f>
        <v>DBP02000783</v>
      </c>
      <c r="B785" s="5" t="str">
        <f>IFERROR(__xludf.DUMMYFUNCTION("""COMPUTED_VALUE"""),"khairuzia@gmail.com")</f>
        <v>khairuzia@gmail.com</v>
      </c>
      <c r="C785" s="3">
        <v>222222.0</v>
      </c>
      <c r="D785" s="3" t="s">
        <v>8</v>
      </c>
      <c r="E785" s="3" t="s">
        <v>9</v>
      </c>
      <c r="F785" s="3" t="s">
        <v>10</v>
      </c>
    </row>
    <row r="786">
      <c r="A786" s="5" t="str">
        <f>IFERROR(__xludf.DUMMYFUNCTION("""COMPUTED_VALUE"""),"DBP02000784")</f>
        <v>DBP02000784</v>
      </c>
      <c r="B786" s="5" t="str">
        <f>IFERROR(__xludf.DUMMYFUNCTION("""COMPUTED_VALUE"""),"tiffbilla@gmail.com")</f>
        <v>tiffbilla@gmail.com</v>
      </c>
      <c r="C786" s="3">
        <v>222222.0</v>
      </c>
      <c r="D786" s="3" t="s">
        <v>8</v>
      </c>
      <c r="E786" s="3" t="s">
        <v>9</v>
      </c>
      <c r="F786" s="3" t="s">
        <v>10</v>
      </c>
    </row>
    <row r="787">
      <c r="A787" s="5" t="str">
        <f>IFERROR(__xludf.DUMMYFUNCTION("""COMPUTED_VALUE"""),"DBP02000785")</f>
        <v>DBP02000785</v>
      </c>
      <c r="B787" s="5" t="str">
        <f>IFERROR(__xludf.DUMMYFUNCTION("""COMPUTED_VALUE"""),"hanselfebrian@gmail.com")</f>
        <v>hanselfebrian@gmail.com</v>
      </c>
      <c r="C787" s="3">
        <v>222222.0</v>
      </c>
      <c r="D787" s="3" t="s">
        <v>8</v>
      </c>
      <c r="E787" s="3" t="s">
        <v>9</v>
      </c>
      <c r="F787" s="3" t="s">
        <v>10</v>
      </c>
    </row>
    <row r="788">
      <c r="A788" s="5" t="str">
        <f>IFERROR(__xludf.DUMMYFUNCTION("""COMPUTED_VALUE"""),"DBP02000786")</f>
        <v>DBP02000786</v>
      </c>
      <c r="B788" s="5" t="str">
        <f>IFERROR(__xludf.DUMMYFUNCTION("""COMPUTED_VALUE"""),"hanselalexandertop@gmail.com")</f>
        <v>hanselalexandertop@gmail.com</v>
      </c>
      <c r="C788" s="3">
        <v>222222.0</v>
      </c>
      <c r="D788" s="3" t="s">
        <v>8</v>
      </c>
      <c r="E788" s="3" t="s">
        <v>9</v>
      </c>
      <c r="F788" s="3" t="s">
        <v>10</v>
      </c>
    </row>
    <row r="789">
      <c r="A789" s="5" t="str">
        <f>IFERROR(__xludf.DUMMYFUNCTION("""COMPUTED_VALUE"""),"DBP02000787")</f>
        <v>DBP02000787</v>
      </c>
      <c r="B789" s="5" t="str">
        <f>IFERROR(__xludf.DUMMYFUNCTION("""COMPUTED_VALUE"""),"michaellaivana1000@gmail.com")</f>
        <v>michaellaivana1000@gmail.com</v>
      </c>
      <c r="C789" s="3">
        <v>222222.0</v>
      </c>
      <c r="D789" s="3" t="s">
        <v>8</v>
      </c>
      <c r="E789" s="3" t="s">
        <v>9</v>
      </c>
      <c r="F789" s="3" t="s">
        <v>10</v>
      </c>
    </row>
    <row r="790">
      <c r="A790" s="5" t="str">
        <f>IFERROR(__xludf.DUMMYFUNCTION("""COMPUTED_VALUE"""),"DBP02000788")</f>
        <v>DBP02000788</v>
      </c>
      <c r="B790" s="5" t="str">
        <f>IFERROR(__xludf.DUMMYFUNCTION("""COMPUTED_VALUE"""),"rocky85.bdg@gmail.com")</f>
        <v>rocky85.bdg@gmail.com</v>
      </c>
      <c r="C790" s="3">
        <v>222222.0</v>
      </c>
      <c r="D790" s="3" t="s">
        <v>8</v>
      </c>
      <c r="E790" s="3" t="s">
        <v>9</v>
      </c>
      <c r="F790" s="3" t="s">
        <v>10</v>
      </c>
    </row>
    <row r="791">
      <c r="A791" s="5" t="str">
        <f>IFERROR(__xludf.DUMMYFUNCTION("""COMPUTED_VALUE"""),"DBP02000789")</f>
        <v>DBP02000789</v>
      </c>
      <c r="B791" s="5" t="str">
        <f>IFERROR(__xludf.DUMMYFUNCTION("""COMPUTED_VALUE"""),"inezitakatarina16@gmail.com")</f>
        <v>inezitakatarina16@gmail.com</v>
      </c>
      <c r="C791" s="3">
        <v>222222.0</v>
      </c>
      <c r="D791" s="3" t="s">
        <v>8</v>
      </c>
      <c r="E791" s="3" t="s">
        <v>9</v>
      </c>
      <c r="F791" s="3" t="s">
        <v>10</v>
      </c>
    </row>
    <row r="792">
      <c r="A792" s="5" t="str">
        <f>IFERROR(__xludf.DUMMYFUNCTION("""COMPUTED_VALUE"""),"DBP02000790")</f>
        <v>DBP02000790</v>
      </c>
      <c r="B792" s="5" t="str">
        <f>IFERROR(__xludf.DUMMYFUNCTION("""COMPUTED_VALUE"""),"moch.rifqimubaarak@gmail.com")</f>
        <v>moch.rifqimubaarak@gmail.com</v>
      </c>
      <c r="C792" s="3">
        <v>222222.0</v>
      </c>
      <c r="D792" s="3" t="s">
        <v>8</v>
      </c>
      <c r="E792" s="3" t="s">
        <v>9</v>
      </c>
      <c r="F792" s="3" t="s">
        <v>10</v>
      </c>
    </row>
    <row r="793">
      <c r="A793" s="5" t="str">
        <f>IFERROR(__xludf.DUMMYFUNCTION("""COMPUTED_VALUE"""),"DBP02000791")</f>
        <v>DBP02000791</v>
      </c>
      <c r="B793" s="5" t="str">
        <f>IFERROR(__xludf.DUMMYFUNCTION("""COMPUTED_VALUE"""),"irsyad.ridwany@gmail.com")</f>
        <v>irsyad.ridwany@gmail.com</v>
      </c>
      <c r="C793" s="3">
        <v>222222.0</v>
      </c>
      <c r="D793" s="3" t="s">
        <v>8</v>
      </c>
      <c r="E793" s="3" t="s">
        <v>9</v>
      </c>
      <c r="F793" s="3" t="s">
        <v>10</v>
      </c>
    </row>
    <row r="794">
      <c r="A794" s="5" t="str">
        <f>IFERROR(__xludf.DUMMYFUNCTION("""COMPUTED_VALUE"""),"DBP02000792")</f>
        <v>DBP02000792</v>
      </c>
      <c r="B794" s="5" t="str">
        <f>IFERROR(__xludf.DUMMYFUNCTION("""COMPUTED_VALUE"""),"icajuniarti74@gmail.com")</f>
        <v>icajuniarti74@gmail.com</v>
      </c>
      <c r="C794" s="3">
        <v>222222.0</v>
      </c>
      <c r="D794" s="3" t="s">
        <v>8</v>
      </c>
      <c r="E794" s="3" t="s">
        <v>9</v>
      </c>
      <c r="F794" s="3" t="s">
        <v>10</v>
      </c>
    </row>
    <row r="795">
      <c r="A795" s="5" t="str">
        <f>IFERROR(__xludf.DUMMYFUNCTION("""COMPUTED_VALUE"""),"DBP02000793")</f>
        <v>DBP02000793</v>
      </c>
      <c r="B795" s="5" t="str">
        <f>IFERROR(__xludf.DUMMYFUNCTION("""COMPUTED_VALUE"""),"arif.beswandjarum26@gmail.com")</f>
        <v>arif.beswandjarum26@gmail.com</v>
      </c>
      <c r="C795" s="3">
        <v>222222.0</v>
      </c>
      <c r="D795" s="3" t="s">
        <v>8</v>
      </c>
      <c r="E795" s="3" t="s">
        <v>9</v>
      </c>
      <c r="F795" s="3" t="s">
        <v>10</v>
      </c>
    </row>
    <row r="796">
      <c r="A796" s="5" t="str">
        <f>IFERROR(__xludf.DUMMYFUNCTION("""COMPUTED_VALUE"""),"DBP02000794")</f>
        <v>DBP02000794</v>
      </c>
      <c r="B796" s="5" t="str">
        <f>IFERROR(__xludf.DUMMYFUNCTION("""COMPUTED_VALUE"""),"putri.mh173@gmail.com")</f>
        <v>putri.mh173@gmail.com</v>
      </c>
      <c r="C796" s="3">
        <v>222222.0</v>
      </c>
      <c r="D796" s="3" t="s">
        <v>8</v>
      </c>
      <c r="E796" s="3" t="s">
        <v>9</v>
      </c>
      <c r="F796" s="3" t="s">
        <v>10</v>
      </c>
    </row>
    <row r="797">
      <c r="A797" s="5" t="str">
        <f>IFERROR(__xludf.DUMMYFUNCTION("""COMPUTED_VALUE"""),"DBP02000795")</f>
        <v>DBP02000795</v>
      </c>
      <c r="B797" s="5" t="str">
        <f>IFERROR(__xludf.DUMMYFUNCTION("""COMPUTED_VALUE"""),"ireneutami95@gmail.com")</f>
        <v>ireneutami95@gmail.com</v>
      </c>
      <c r="C797" s="3">
        <v>222222.0</v>
      </c>
      <c r="D797" s="3" t="s">
        <v>8</v>
      </c>
      <c r="E797" s="3" t="s">
        <v>9</v>
      </c>
      <c r="F797" s="3" t="s">
        <v>10</v>
      </c>
    </row>
    <row r="798">
      <c r="A798" s="5" t="str">
        <f>IFERROR(__xludf.DUMMYFUNCTION("""COMPUTED_VALUE"""),"DBP02000796")</f>
        <v>DBP02000796</v>
      </c>
      <c r="B798" s="5" t="str">
        <f>IFERROR(__xludf.DUMMYFUNCTION("""COMPUTED_VALUE"""),"raflikharisma87@gmail.com")</f>
        <v>raflikharisma87@gmail.com</v>
      </c>
      <c r="C798" s="3">
        <v>222222.0</v>
      </c>
      <c r="D798" s="3" t="s">
        <v>8</v>
      </c>
      <c r="E798" s="3" t="s">
        <v>9</v>
      </c>
      <c r="F798" s="3" t="s">
        <v>10</v>
      </c>
    </row>
    <row r="799">
      <c r="A799" s="5" t="str">
        <f>IFERROR(__xludf.DUMMYFUNCTION("""COMPUTED_VALUE"""),"DBP02000797")</f>
        <v>DBP02000797</v>
      </c>
      <c r="B799" s="5" t="str">
        <f>IFERROR(__xludf.DUMMYFUNCTION("""COMPUTED_VALUE"""),"niodefikar555@gmail.com")</f>
        <v>niodefikar555@gmail.com</v>
      </c>
      <c r="C799" s="3">
        <v>222222.0</v>
      </c>
      <c r="D799" s="3" t="s">
        <v>8</v>
      </c>
      <c r="E799" s="3" t="s">
        <v>9</v>
      </c>
      <c r="F799" s="3" t="s">
        <v>10</v>
      </c>
    </row>
    <row r="800">
      <c r="A800" s="5" t="str">
        <f>IFERROR(__xludf.DUMMYFUNCTION("""COMPUTED_VALUE"""),"DBP02000798")</f>
        <v>DBP02000798</v>
      </c>
      <c r="B800" s="5" t="str">
        <f>IFERROR(__xludf.DUMMYFUNCTION("""COMPUTED_VALUE"""),"rikrikfuadwahab@gmail.com")</f>
        <v>rikrikfuadwahab@gmail.com</v>
      </c>
      <c r="C800" s="3">
        <v>222222.0</v>
      </c>
      <c r="D800" s="3" t="s">
        <v>8</v>
      </c>
      <c r="E800" s="3" t="s">
        <v>9</v>
      </c>
      <c r="F800" s="3" t="s">
        <v>10</v>
      </c>
    </row>
    <row r="801">
      <c r="A801" s="5" t="str">
        <f>IFERROR(__xludf.DUMMYFUNCTION("""COMPUTED_VALUE"""),"DBP02000799")</f>
        <v>DBP02000799</v>
      </c>
      <c r="B801" s="5" t="str">
        <f>IFERROR(__xludf.DUMMYFUNCTION("""COMPUTED_VALUE"""),"nanda2002.cjcc@gmail.com")</f>
        <v>nanda2002.cjcc@gmail.com</v>
      </c>
      <c r="C801" s="3">
        <v>222222.0</v>
      </c>
      <c r="D801" s="3" t="s">
        <v>8</v>
      </c>
      <c r="E801" s="3" t="s">
        <v>9</v>
      </c>
      <c r="F801" s="3" t="s">
        <v>10</v>
      </c>
    </row>
    <row r="802">
      <c r="A802" s="5" t="str">
        <f>IFERROR(__xludf.DUMMYFUNCTION("""COMPUTED_VALUE"""),"DBP02000800")</f>
        <v>DBP02000800</v>
      </c>
      <c r="B802" s="5" t="str">
        <f>IFERROR(__xludf.DUMMYFUNCTION("""COMPUTED_VALUE"""),"salbiasalsabilamulki@gmail.com")</f>
        <v>salbiasalsabilamulki@gmail.com</v>
      </c>
      <c r="C802" s="3">
        <v>222222.0</v>
      </c>
      <c r="D802" s="3" t="s">
        <v>8</v>
      </c>
      <c r="E802" s="3" t="s">
        <v>9</v>
      </c>
      <c r="F802" s="3" t="s">
        <v>10</v>
      </c>
    </row>
    <row r="803">
      <c r="A803" s="5" t="str">
        <f>IFERROR(__xludf.DUMMYFUNCTION("""COMPUTED_VALUE"""),"DBP02000801")</f>
        <v>DBP02000801</v>
      </c>
      <c r="B803" s="5" t="str">
        <f>IFERROR(__xludf.DUMMYFUNCTION("""COMPUTED_VALUE"""),"sania.pujianti1307@gmail.com")</f>
        <v>sania.pujianti1307@gmail.com</v>
      </c>
      <c r="C803" s="3">
        <v>222222.0</v>
      </c>
      <c r="D803" s="3" t="s">
        <v>8</v>
      </c>
      <c r="E803" s="3" t="s">
        <v>9</v>
      </c>
      <c r="F803" s="3" t="s">
        <v>10</v>
      </c>
    </row>
    <row r="804">
      <c r="A804" s="5" t="str">
        <f>IFERROR(__xludf.DUMMYFUNCTION("""COMPUTED_VALUE"""),"DBP02000802")</f>
        <v>DBP02000802</v>
      </c>
      <c r="B804" s="5" t="str">
        <f>IFERROR(__xludf.DUMMYFUNCTION("""COMPUTED_VALUE"""),"danielanugerah26@gmail.com")</f>
        <v>danielanugerah26@gmail.com</v>
      </c>
      <c r="C804" s="3">
        <v>222222.0</v>
      </c>
      <c r="D804" s="3" t="s">
        <v>8</v>
      </c>
      <c r="E804" s="3" t="s">
        <v>9</v>
      </c>
      <c r="F804" s="3" t="s">
        <v>10</v>
      </c>
    </row>
    <row r="805">
      <c r="A805" s="5" t="str">
        <f>IFERROR(__xludf.DUMMYFUNCTION("""COMPUTED_VALUE"""),"DBP02000803")</f>
        <v>DBP02000803</v>
      </c>
      <c r="B805" s="5" t="str">
        <f>IFERROR(__xludf.DUMMYFUNCTION("""COMPUTED_VALUE"""),"reginaauliaa10@gmail.com")</f>
        <v>reginaauliaa10@gmail.com</v>
      </c>
      <c r="C805" s="3">
        <v>222222.0</v>
      </c>
      <c r="D805" s="3" t="s">
        <v>8</v>
      </c>
      <c r="E805" s="3" t="s">
        <v>9</v>
      </c>
      <c r="F805" s="3" t="s">
        <v>10</v>
      </c>
    </row>
    <row r="806">
      <c r="A806" s="5" t="str">
        <f>IFERROR(__xludf.DUMMYFUNCTION("""COMPUTED_VALUE"""),"DBP02000804")</f>
        <v>DBP02000804</v>
      </c>
      <c r="B806" s="5" t="str">
        <f>IFERROR(__xludf.DUMMYFUNCTION("""COMPUTED_VALUE"""),"samasamaind.id@gmail.com")</f>
        <v>samasamaind.id@gmail.com</v>
      </c>
      <c r="C806" s="3">
        <v>222222.0</v>
      </c>
      <c r="D806" s="3" t="s">
        <v>8</v>
      </c>
      <c r="E806" s="3" t="s">
        <v>9</v>
      </c>
      <c r="F806" s="3" t="s">
        <v>10</v>
      </c>
    </row>
    <row r="807">
      <c r="A807" s="5" t="str">
        <f>IFERROR(__xludf.DUMMYFUNCTION("""COMPUTED_VALUE"""),"DBP02000805")</f>
        <v>DBP02000805</v>
      </c>
      <c r="B807" s="5" t="str">
        <f>IFERROR(__xludf.DUMMYFUNCTION("""COMPUTED_VALUE"""),"nataliewakkary@gmail.com")</f>
        <v>nataliewakkary@gmail.com</v>
      </c>
      <c r="C807" s="3">
        <v>222222.0</v>
      </c>
      <c r="D807" s="3" t="s">
        <v>8</v>
      </c>
      <c r="E807" s="3" t="s">
        <v>9</v>
      </c>
      <c r="F807" s="3" t="s">
        <v>10</v>
      </c>
    </row>
    <row r="808">
      <c r="A808" s="5" t="str">
        <f>IFERROR(__xludf.DUMMYFUNCTION("""COMPUTED_VALUE"""),"DBP02000806")</f>
        <v>DBP02000806</v>
      </c>
      <c r="B808" s="5" t="str">
        <f>IFERROR(__xludf.DUMMYFUNCTION("""COMPUTED_VALUE"""),"rivalnormansyah1@gmail.com")</f>
        <v>rivalnormansyah1@gmail.com</v>
      </c>
      <c r="C808" s="3">
        <v>222222.0</v>
      </c>
      <c r="D808" s="3" t="s">
        <v>8</v>
      </c>
      <c r="E808" s="3" t="s">
        <v>9</v>
      </c>
      <c r="F808" s="3" t="s">
        <v>10</v>
      </c>
    </row>
    <row r="809">
      <c r="A809" s="5" t="str">
        <f>IFERROR(__xludf.DUMMYFUNCTION("""COMPUTED_VALUE"""),"DBP02000807")</f>
        <v>DBP02000807</v>
      </c>
      <c r="B809" s="5" t="str">
        <f>IFERROR(__xludf.DUMMYFUNCTION("""COMPUTED_VALUE"""),"alessandrowijaya03@gmail.com")</f>
        <v>alessandrowijaya03@gmail.com</v>
      </c>
      <c r="C809" s="3">
        <v>222222.0</v>
      </c>
      <c r="D809" s="3" t="s">
        <v>8</v>
      </c>
      <c r="E809" s="3" t="s">
        <v>9</v>
      </c>
      <c r="F809" s="3" t="s">
        <v>10</v>
      </c>
    </row>
    <row r="810">
      <c r="A810" s="5" t="str">
        <f>IFERROR(__xludf.DUMMYFUNCTION("""COMPUTED_VALUE"""),"DBP02000808")</f>
        <v>DBP02000808</v>
      </c>
      <c r="B810" s="5" t="str">
        <f>IFERROR(__xludf.DUMMYFUNCTION("""COMPUTED_VALUE"""),"caksanjaya01@gmail.com")</f>
        <v>caksanjaya01@gmail.com</v>
      </c>
      <c r="C810" s="3">
        <v>222222.0</v>
      </c>
      <c r="D810" s="3" t="s">
        <v>8</v>
      </c>
      <c r="E810" s="3" t="s">
        <v>9</v>
      </c>
      <c r="F810" s="3" t="s">
        <v>10</v>
      </c>
    </row>
    <row r="811">
      <c r="A811" s="5" t="str">
        <f>IFERROR(__xludf.DUMMYFUNCTION("""COMPUTED_VALUE"""),"DBP02000809")</f>
        <v>DBP02000809</v>
      </c>
      <c r="B811" s="5" t="str">
        <f>IFERROR(__xludf.DUMMYFUNCTION("""COMPUTED_VALUE"""),"yus.7efen@gmail.com")</f>
        <v>yus.7efen@gmail.com</v>
      </c>
      <c r="C811" s="3">
        <v>222222.0</v>
      </c>
      <c r="D811" s="3" t="s">
        <v>8</v>
      </c>
      <c r="E811" s="3" t="s">
        <v>9</v>
      </c>
      <c r="F811" s="3" t="s">
        <v>10</v>
      </c>
    </row>
    <row r="812">
      <c r="A812" s="5" t="str">
        <f>IFERROR(__xludf.DUMMYFUNCTION("""COMPUTED_VALUE"""),"DBP02000810")</f>
        <v>DBP02000810</v>
      </c>
      <c r="B812" s="5" t="str">
        <f>IFERROR(__xludf.DUMMYFUNCTION("""COMPUTED_VALUE"""),"jeremianggi@gmail.com")</f>
        <v>jeremianggi@gmail.com</v>
      </c>
      <c r="C812" s="3">
        <v>222222.0</v>
      </c>
      <c r="D812" s="3" t="s">
        <v>8</v>
      </c>
      <c r="E812" s="3" t="s">
        <v>9</v>
      </c>
      <c r="F812" s="3" t="s">
        <v>10</v>
      </c>
    </row>
    <row r="813">
      <c r="A813" s="5" t="str">
        <f>IFERROR(__xludf.DUMMYFUNCTION("""COMPUTED_VALUE"""),"DBP02000811")</f>
        <v>DBP02000811</v>
      </c>
      <c r="B813" s="5" t="str">
        <f>IFERROR(__xludf.DUMMYFUNCTION("""COMPUTED_VALUE"""),"odearwanarchhalidun@gmail.com")</f>
        <v>odearwanarchhalidun@gmail.com</v>
      </c>
      <c r="C813" s="3">
        <v>222222.0</v>
      </c>
      <c r="D813" s="3" t="s">
        <v>8</v>
      </c>
      <c r="E813" s="3" t="s">
        <v>9</v>
      </c>
      <c r="F813" s="3" t="s">
        <v>10</v>
      </c>
    </row>
    <row r="814">
      <c r="A814" s="5" t="str">
        <f>IFERROR(__xludf.DUMMYFUNCTION("""COMPUTED_VALUE"""),"DBP02000812")</f>
        <v>DBP02000812</v>
      </c>
      <c r="B814" s="5" t="str">
        <f>IFERROR(__xludf.DUMMYFUNCTION("""COMPUTED_VALUE"""),"dienalvira@gmail.com")</f>
        <v>dienalvira@gmail.com</v>
      </c>
      <c r="C814" s="3">
        <v>222222.0</v>
      </c>
      <c r="D814" s="3" t="s">
        <v>8</v>
      </c>
      <c r="E814" s="3" t="s">
        <v>9</v>
      </c>
      <c r="F814" s="3" t="s">
        <v>10</v>
      </c>
    </row>
    <row r="815">
      <c r="A815" s="5" t="str">
        <f>IFERROR(__xludf.DUMMYFUNCTION("""COMPUTED_VALUE"""),"DBP02000813")</f>
        <v>DBP02000813</v>
      </c>
      <c r="B815" s="5" t="str">
        <f>IFERROR(__xludf.DUMMYFUNCTION("""COMPUTED_VALUE"""),"sorayyakhairunnisa1@gmail.com")</f>
        <v>sorayyakhairunnisa1@gmail.com</v>
      </c>
      <c r="C815" s="3">
        <v>222222.0</v>
      </c>
      <c r="D815" s="3" t="s">
        <v>8</v>
      </c>
      <c r="E815" s="3" t="s">
        <v>9</v>
      </c>
      <c r="F815" s="3" t="s">
        <v>10</v>
      </c>
    </row>
    <row r="816">
      <c r="A816" s="5" t="str">
        <f>IFERROR(__xludf.DUMMYFUNCTION("""COMPUTED_VALUE"""),"DBP02000814")</f>
        <v>DBP02000814</v>
      </c>
      <c r="B816" s="5" t="str">
        <f>IFERROR(__xludf.DUMMYFUNCTION("""COMPUTED_VALUE"""),"daniel.onny12@gmail.com")</f>
        <v>daniel.onny12@gmail.com</v>
      </c>
      <c r="C816" s="3">
        <v>222222.0</v>
      </c>
      <c r="D816" s="3" t="s">
        <v>8</v>
      </c>
      <c r="E816" s="3" t="s">
        <v>9</v>
      </c>
      <c r="F816" s="3" t="s">
        <v>10</v>
      </c>
    </row>
    <row r="817">
      <c r="A817" s="5" t="str">
        <f>IFERROR(__xludf.DUMMYFUNCTION("""COMPUTED_VALUE"""),"DBP02000815")</f>
        <v>DBP02000815</v>
      </c>
      <c r="B817" s="5" t="str">
        <f>IFERROR(__xludf.DUMMYFUNCTION("""COMPUTED_VALUE"""),"eviadeliana@gmail.com")</f>
        <v>eviadeliana@gmail.com</v>
      </c>
      <c r="C817" s="3">
        <v>222222.0</v>
      </c>
      <c r="D817" s="3" t="s">
        <v>8</v>
      </c>
      <c r="E817" s="3" t="s">
        <v>9</v>
      </c>
      <c r="F817" s="3" t="s">
        <v>10</v>
      </c>
    </row>
    <row r="818">
      <c r="A818" s="5" t="str">
        <f>IFERROR(__xludf.DUMMYFUNCTION("""COMPUTED_VALUE"""),"DBP02000816")</f>
        <v>DBP02000816</v>
      </c>
      <c r="B818" s="5" t="str">
        <f>IFERROR(__xludf.DUMMYFUNCTION("""COMPUTED_VALUE"""),"nabilprayoga23@gmail.com")</f>
        <v>nabilprayoga23@gmail.com</v>
      </c>
      <c r="C818" s="3">
        <v>222222.0</v>
      </c>
      <c r="D818" s="3" t="s">
        <v>8</v>
      </c>
      <c r="E818" s="3" t="s">
        <v>9</v>
      </c>
      <c r="F818" s="3" t="s">
        <v>10</v>
      </c>
    </row>
    <row r="819">
      <c r="A819" s="5" t="str">
        <f>IFERROR(__xludf.DUMMYFUNCTION("""COMPUTED_VALUE"""),"DBP02000817")</f>
        <v>DBP02000817</v>
      </c>
      <c r="B819" s="5" t="str">
        <f>IFERROR(__xludf.DUMMYFUNCTION("""COMPUTED_VALUE"""),"tiaraoctafhatiana21@gmail.com")</f>
        <v>tiaraoctafhatiana21@gmail.com</v>
      </c>
      <c r="C819" s="3">
        <v>222222.0</v>
      </c>
      <c r="D819" s="3" t="s">
        <v>8</v>
      </c>
      <c r="E819" s="3" t="s">
        <v>9</v>
      </c>
      <c r="F819" s="3" t="s">
        <v>10</v>
      </c>
    </row>
    <row r="820">
      <c r="A820" s="5" t="str">
        <f>IFERROR(__xludf.DUMMYFUNCTION("""COMPUTED_VALUE"""),"DBP02000818")</f>
        <v>DBP02000818</v>
      </c>
      <c r="B820" s="5" t="str">
        <f>IFERROR(__xludf.DUMMYFUNCTION("""COMPUTED_VALUE"""),"wedari.galuh@gmail.com")</f>
        <v>wedari.galuh@gmail.com</v>
      </c>
      <c r="C820" s="3">
        <v>222222.0</v>
      </c>
      <c r="D820" s="3" t="s">
        <v>8</v>
      </c>
      <c r="E820" s="3" t="s">
        <v>9</v>
      </c>
      <c r="F820" s="3" t="s">
        <v>10</v>
      </c>
    </row>
    <row r="821">
      <c r="A821" s="5" t="str">
        <f>IFERROR(__xludf.DUMMYFUNCTION("""COMPUTED_VALUE"""),"DBP02000819")</f>
        <v>DBP02000819</v>
      </c>
      <c r="B821" s="5" t="str">
        <f>IFERROR(__xludf.DUMMYFUNCTION("""COMPUTED_VALUE"""),"nisfanisyahrien@gmail.com")</f>
        <v>nisfanisyahrien@gmail.com</v>
      </c>
      <c r="C821" s="3">
        <v>222222.0</v>
      </c>
      <c r="D821" s="3" t="s">
        <v>8</v>
      </c>
      <c r="E821" s="3" t="s">
        <v>9</v>
      </c>
      <c r="F821" s="3" t="s">
        <v>10</v>
      </c>
    </row>
    <row r="822">
      <c r="A822" s="5" t="str">
        <f>IFERROR(__xludf.DUMMYFUNCTION("""COMPUTED_VALUE"""),"DBP02000820")</f>
        <v>DBP02000820</v>
      </c>
      <c r="B822" s="5" t="str">
        <f>IFERROR(__xludf.DUMMYFUNCTION("""COMPUTED_VALUE"""),"rahmanirahma2003@gmail.com")</f>
        <v>rahmanirahma2003@gmail.com</v>
      </c>
      <c r="C822" s="3">
        <v>222222.0</v>
      </c>
      <c r="D822" s="3" t="s">
        <v>8</v>
      </c>
      <c r="E822" s="3" t="s">
        <v>9</v>
      </c>
      <c r="F822" s="3" t="s">
        <v>10</v>
      </c>
    </row>
    <row r="823">
      <c r="A823" s="5" t="str">
        <f>IFERROR(__xludf.DUMMYFUNCTION("""COMPUTED_VALUE"""),"DBP02000821")</f>
        <v>DBP02000821</v>
      </c>
      <c r="B823" s="5" t="str">
        <f>IFERROR(__xludf.DUMMYFUNCTION("""COMPUTED_VALUE"""),"tokorizkybunda@gmail.com")</f>
        <v>tokorizkybunda@gmail.com</v>
      </c>
      <c r="C823" s="3">
        <v>222222.0</v>
      </c>
      <c r="D823" s="3" t="s">
        <v>8</v>
      </c>
      <c r="E823" s="3" t="s">
        <v>9</v>
      </c>
      <c r="F823" s="3" t="s">
        <v>10</v>
      </c>
    </row>
    <row r="824">
      <c r="A824" s="5" t="str">
        <f>IFERROR(__xludf.DUMMYFUNCTION("""COMPUTED_VALUE"""),"DBP02000822")</f>
        <v>DBP02000822</v>
      </c>
      <c r="B824" s="5" t="str">
        <f>IFERROR(__xludf.DUMMYFUNCTION("""COMPUTED_VALUE"""),"danial.suma2000@gmail.com")</f>
        <v>danial.suma2000@gmail.com</v>
      </c>
      <c r="C824" s="3">
        <v>222222.0</v>
      </c>
      <c r="D824" s="3" t="s">
        <v>8</v>
      </c>
      <c r="E824" s="3" t="s">
        <v>9</v>
      </c>
      <c r="F824" s="3" t="s">
        <v>10</v>
      </c>
    </row>
    <row r="825">
      <c r="A825" s="5" t="str">
        <f>IFERROR(__xludf.DUMMYFUNCTION("""COMPUTED_VALUE"""),"DBP02000823")</f>
        <v>DBP02000823</v>
      </c>
      <c r="B825" s="5" t="str">
        <f>IFERROR(__xludf.DUMMYFUNCTION("""COMPUTED_VALUE"""),"anton.solehudin@gmail.com")</f>
        <v>anton.solehudin@gmail.com</v>
      </c>
      <c r="C825" s="3">
        <v>222222.0</v>
      </c>
      <c r="D825" s="3" t="s">
        <v>8</v>
      </c>
      <c r="E825" s="3" t="s">
        <v>9</v>
      </c>
      <c r="F825" s="3" t="s">
        <v>10</v>
      </c>
    </row>
    <row r="826">
      <c r="A826" s="5" t="str">
        <f>IFERROR(__xludf.DUMMYFUNCTION("""COMPUTED_VALUE"""),"DBP02000824")</f>
        <v>DBP02000824</v>
      </c>
      <c r="B826" s="5" t="str">
        <f>IFERROR(__xludf.DUMMYFUNCTION("""COMPUTED_VALUE"""),"dirgaachmadyasin@gmail.com")</f>
        <v>dirgaachmadyasin@gmail.com</v>
      </c>
      <c r="C826" s="3">
        <v>222222.0</v>
      </c>
      <c r="D826" s="3" t="s">
        <v>8</v>
      </c>
      <c r="E826" s="3" t="s">
        <v>9</v>
      </c>
      <c r="F826" s="3" t="s">
        <v>10</v>
      </c>
    </row>
    <row r="827">
      <c r="A827" s="5" t="str">
        <f>IFERROR(__xludf.DUMMYFUNCTION("""COMPUTED_VALUE"""),"DBP02000825")</f>
        <v>DBP02000825</v>
      </c>
      <c r="B827" s="5" t="str">
        <f>IFERROR(__xludf.DUMMYFUNCTION("""COMPUTED_VALUE"""),"agnesputriapn@gmail.com")</f>
        <v>agnesputriapn@gmail.com</v>
      </c>
      <c r="C827" s="3">
        <v>222222.0</v>
      </c>
      <c r="D827" s="3" t="s">
        <v>8</v>
      </c>
      <c r="E827" s="3" t="s">
        <v>9</v>
      </c>
      <c r="F827" s="3" t="s">
        <v>10</v>
      </c>
    </row>
    <row r="828">
      <c r="A828" s="5" t="str">
        <f>IFERROR(__xludf.DUMMYFUNCTION("""COMPUTED_VALUE"""),"DBP02000826")</f>
        <v>DBP02000826</v>
      </c>
      <c r="B828" s="5" t="str">
        <f>IFERROR(__xludf.DUMMYFUNCTION("""COMPUTED_VALUE"""),"coc.hafid@gmail.com")</f>
        <v>coc.hafid@gmail.com</v>
      </c>
      <c r="C828" s="3">
        <v>222222.0</v>
      </c>
      <c r="D828" s="3" t="s">
        <v>8</v>
      </c>
      <c r="E828" s="3" t="s">
        <v>9</v>
      </c>
      <c r="F828" s="3" t="s">
        <v>10</v>
      </c>
    </row>
    <row r="829">
      <c r="A829" s="5" t="str">
        <f>IFERROR(__xludf.DUMMYFUNCTION("""COMPUTED_VALUE"""),"DBP02000827")</f>
        <v>DBP02000827</v>
      </c>
      <c r="B829" s="5" t="str">
        <f>IFERROR(__xludf.DUMMYFUNCTION("""COMPUTED_VALUE"""),"muhamadilhaamm@gmail.com")</f>
        <v>muhamadilhaamm@gmail.com</v>
      </c>
      <c r="C829" s="3">
        <v>222222.0</v>
      </c>
      <c r="D829" s="3" t="s">
        <v>8</v>
      </c>
      <c r="E829" s="3" t="s">
        <v>9</v>
      </c>
      <c r="F829" s="3" t="s">
        <v>10</v>
      </c>
    </row>
    <row r="830">
      <c r="A830" s="5" t="str">
        <f>IFERROR(__xludf.DUMMYFUNCTION("""COMPUTED_VALUE"""),"DBP02000828")</f>
        <v>DBP02000828</v>
      </c>
      <c r="B830" s="5" t="str">
        <f>IFERROR(__xludf.DUMMYFUNCTION("""COMPUTED_VALUE"""),"nykokosasih@gmail.com")</f>
        <v>nykokosasih@gmail.com</v>
      </c>
      <c r="C830" s="3">
        <v>222222.0</v>
      </c>
      <c r="D830" s="3" t="s">
        <v>8</v>
      </c>
      <c r="E830" s="3" t="s">
        <v>9</v>
      </c>
      <c r="F830" s="3" t="s">
        <v>10</v>
      </c>
    </row>
    <row r="831">
      <c r="A831" s="5" t="str">
        <f>IFERROR(__xludf.DUMMYFUNCTION("""COMPUTED_VALUE"""),"DBP02000829")</f>
        <v>DBP02000829</v>
      </c>
      <c r="B831" s="5" t="str">
        <f>IFERROR(__xludf.DUMMYFUNCTION("""COMPUTED_VALUE"""),"rifkaannisaja@gmail.com")</f>
        <v>rifkaannisaja@gmail.com</v>
      </c>
      <c r="C831" s="3">
        <v>222222.0</v>
      </c>
      <c r="D831" s="3" t="s">
        <v>8</v>
      </c>
      <c r="E831" s="3" t="s">
        <v>9</v>
      </c>
      <c r="F831" s="3" t="s">
        <v>10</v>
      </c>
    </row>
    <row r="832">
      <c r="A832" s="5" t="str">
        <f>IFERROR(__xludf.DUMMYFUNCTION("""COMPUTED_VALUE"""),"DBP02000830")</f>
        <v>DBP02000830</v>
      </c>
      <c r="B832" s="5" t="str">
        <f>IFERROR(__xludf.DUMMYFUNCTION("""COMPUTED_VALUE"""),"ferdina.maudya@gmail.com")</f>
        <v>ferdina.maudya@gmail.com</v>
      </c>
      <c r="C832" s="3">
        <v>222222.0</v>
      </c>
      <c r="D832" s="3" t="s">
        <v>8</v>
      </c>
      <c r="E832" s="3" t="s">
        <v>9</v>
      </c>
      <c r="F832" s="3" t="s">
        <v>10</v>
      </c>
    </row>
    <row r="833">
      <c r="A833" s="5" t="str">
        <f>IFERROR(__xludf.DUMMYFUNCTION("""COMPUTED_VALUE"""),"DBP02000831")</f>
        <v>DBP02000831</v>
      </c>
      <c r="B833" s="5" t="str">
        <f>IFERROR(__xludf.DUMMYFUNCTION("""COMPUTED_VALUE"""),"theresiaisabella01@gmail.com")</f>
        <v>theresiaisabella01@gmail.com</v>
      </c>
      <c r="C833" s="3">
        <v>222222.0</v>
      </c>
      <c r="D833" s="3" t="s">
        <v>8</v>
      </c>
      <c r="E833" s="3" t="s">
        <v>9</v>
      </c>
      <c r="F833" s="3" t="s">
        <v>10</v>
      </c>
    </row>
    <row r="834">
      <c r="A834" s="5" t="str">
        <f>IFERROR(__xludf.DUMMYFUNCTION("""COMPUTED_VALUE"""),"DBP02000832")</f>
        <v>DBP02000832</v>
      </c>
      <c r="B834" s="5" t="str">
        <f>IFERROR(__xludf.DUMMYFUNCTION("""COMPUTED_VALUE"""),"ayuniken1301@gmail.com")</f>
        <v>ayuniken1301@gmail.com</v>
      </c>
      <c r="C834" s="3">
        <v>222222.0</v>
      </c>
      <c r="D834" s="3" t="s">
        <v>8</v>
      </c>
      <c r="E834" s="3" t="s">
        <v>9</v>
      </c>
      <c r="F834" s="3" t="s">
        <v>10</v>
      </c>
    </row>
    <row r="835">
      <c r="A835" s="5" t="str">
        <f>IFERROR(__xludf.DUMMYFUNCTION("""COMPUTED_VALUE"""),"DBP02000833")</f>
        <v>DBP02000833</v>
      </c>
      <c r="B835" s="5" t="str">
        <f>IFERROR(__xludf.DUMMYFUNCTION("""COMPUTED_VALUE"""),"anggipradnyaningsih99@gmail.com")</f>
        <v>anggipradnyaningsih99@gmail.com</v>
      </c>
      <c r="C835" s="3">
        <v>222222.0</v>
      </c>
      <c r="D835" s="3" t="s">
        <v>8</v>
      </c>
      <c r="E835" s="3" t="s">
        <v>9</v>
      </c>
      <c r="F835" s="3" t="s">
        <v>10</v>
      </c>
    </row>
    <row r="836">
      <c r="A836" s="5" t="str">
        <f>IFERROR(__xludf.DUMMYFUNCTION("""COMPUTED_VALUE"""),"DBP02000834")</f>
        <v>DBP02000834</v>
      </c>
      <c r="B836" s="5" t="str">
        <f>IFERROR(__xludf.DUMMYFUNCTION("""COMPUTED_VALUE"""),"imam.fikri41@gmail.com")</f>
        <v>imam.fikri41@gmail.com</v>
      </c>
      <c r="C836" s="3">
        <v>222222.0</v>
      </c>
      <c r="D836" s="3" t="s">
        <v>8</v>
      </c>
      <c r="E836" s="3" t="s">
        <v>9</v>
      </c>
      <c r="F836" s="3" t="s">
        <v>10</v>
      </c>
    </row>
    <row r="837">
      <c r="A837" s="5" t="str">
        <f>IFERROR(__xludf.DUMMYFUNCTION("""COMPUTED_VALUE"""),"DBP02000835")</f>
        <v>DBP02000835</v>
      </c>
      <c r="B837" s="5" t="str">
        <f>IFERROR(__xludf.DUMMYFUNCTION("""COMPUTED_VALUE"""),"sitiuno@gmail.com")</f>
        <v>sitiuno@gmail.com</v>
      </c>
      <c r="C837" s="3">
        <v>222222.0</v>
      </c>
      <c r="D837" s="3" t="s">
        <v>8</v>
      </c>
      <c r="E837" s="3" t="s">
        <v>9</v>
      </c>
      <c r="F837" s="3" t="s">
        <v>10</v>
      </c>
    </row>
    <row r="838">
      <c r="A838" s="5" t="str">
        <f>IFERROR(__xludf.DUMMYFUNCTION("""COMPUTED_VALUE"""),"DBP02000836")</f>
        <v>DBP02000836</v>
      </c>
      <c r="B838" s="5" t="str">
        <f>IFERROR(__xludf.DUMMYFUNCTION("""COMPUTED_VALUE"""),"kassapajotana@gmail.com")</f>
        <v>kassapajotana@gmail.com</v>
      </c>
      <c r="C838" s="3">
        <v>222222.0</v>
      </c>
      <c r="D838" s="3" t="s">
        <v>8</v>
      </c>
      <c r="E838" s="3" t="s">
        <v>9</v>
      </c>
      <c r="F838" s="3" t="s">
        <v>10</v>
      </c>
    </row>
    <row r="839">
      <c r="A839" s="5" t="str">
        <f>IFERROR(__xludf.DUMMYFUNCTION("""COMPUTED_VALUE"""),"DBP02000837")</f>
        <v>DBP02000837</v>
      </c>
      <c r="B839" s="5" t="str">
        <f>IFERROR(__xludf.DUMMYFUNCTION("""COMPUTED_VALUE"""),"meirzaliandhie@gmail.com")</f>
        <v>meirzaliandhie@gmail.com</v>
      </c>
      <c r="C839" s="3">
        <v>222222.0</v>
      </c>
      <c r="D839" s="3" t="s">
        <v>8</v>
      </c>
      <c r="E839" s="3" t="s">
        <v>9</v>
      </c>
      <c r="F839" s="3" t="s">
        <v>10</v>
      </c>
    </row>
    <row r="840">
      <c r="A840" s="5" t="str">
        <f>IFERROR(__xludf.DUMMYFUNCTION("""COMPUTED_VALUE"""),"DBP02000838")</f>
        <v>DBP02000838</v>
      </c>
      <c r="B840" s="5" t="str">
        <f>IFERROR(__xludf.DUMMYFUNCTION("""COMPUTED_VALUE"""),"shenny.oktoriana@faperta.untan.ac.id")</f>
        <v>shenny.oktoriana@faperta.untan.ac.id</v>
      </c>
      <c r="C840" s="3">
        <v>222222.0</v>
      </c>
      <c r="D840" s="3" t="s">
        <v>8</v>
      </c>
      <c r="E840" s="3" t="s">
        <v>9</v>
      </c>
      <c r="F840" s="3" t="s">
        <v>10</v>
      </c>
    </row>
    <row r="841">
      <c r="A841" s="5" t="str">
        <f>IFERROR(__xludf.DUMMYFUNCTION("""COMPUTED_VALUE"""),"DBP02000839")</f>
        <v>DBP02000839</v>
      </c>
      <c r="B841" s="5" t="str">
        <f>IFERROR(__xludf.DUMMYFUNCTION("""COMPUTED_VALUE"""),"pramudya784@gmail.com")</f>
        <v>pramudya784@gmail.com</v>
      </c>
      <c r="C841" s="3">
        <v>222222.0</v>
      </c>
      <c r="D841" s="3" t="s">
        <v>8</v>
      </c>
      <c r="E841" s="3" t="s">
        <v>9</v>
      </c>
      <c r="F841" s="3" t="s">
        <v>10</v>
      </c>
    </row>
    <row r="842">
      <c r="A842" s="5" t="str">
        <f>IFERROR(__xludf.DUMMYFUNCTION("""COMPUTED_VALUE"""),"DBP02000840")</f>
        <v>DBP02000840</v>
      </c>
      <c r="B842" s="5" t="str">
        <f>IFERROR(__xludf.DUMMYFUNCTION("""COMPUTED_VALUE"""),"nikosept14@gmail.com")</f>
        <v>nikosept14@gmail.com</v>
      </c>
      <c r="C842" s="3">
        <v>222222.0</v>
      </c>
      <c r="D842" s="3" t="s">
        <v>8</v>
      </c>
      <c r="E842" s="3" t="s">
        <v>9</v>
      </c>
      <c r="F842" s="3" t="s">
        <v>10</v>
      </c>
    </row>
    <row r="843">
      <c r="A843" s="5" t="str">
        <f>IFERROR(__xludf.DUMMYFUNCTION("""COMPUTED_VALUE"""),"DBP02000841")</f>
        <v>DBP02000841</v>
      </c>
      <c r="B843" s="5" t="str">
        <f>IFERROR(__xludf.DUMMYFUNCTION("""COMPUTED_VALUE"""),"fenisufuiana@gmail.com")</f>
        <v>fenisufuiana@gmail.com</v>
      </c>
      <c r="C843" s="3">
        <v>222222.0</v>
      </c>
      <c r="D843" s="3" t="s">
        <v>8</v>
      </c>
      <c r="E843" s="3" t="s">
        <v>9</v>
      </c>
      <c r="F843" s="3" t="s">
        <v>10</v>
      </c>
    </row>
    <row r="844">
      <c r="A844" s="5" t="str">
        <f>IFERROR(__xludf.DUMMYFUNCTION("""COMPUTED_VALUE"""),"DBP02000842")</f>
        <v>DBP02000842</v>
      </c>
      <c r="B844" s="5" t="str">
        <f>IFERROR(__xludf.DUMMYFUNCTION("""COMPUTED_VALUE"""),"inamiantar@gmail.com")</f>
        <v>inamiantar@gmail.com</v>
      </c>
      <c r="C844" s="3">
        <v>222222.0</v>
      </c>
      <c r="D844" s="3" t="s">
        <v>8</v>
      </c>
      <c r="E844" s="3" t="s">
        <v>9</v>
      </c>
      <c r="F844" s="3" t="s">
        <v>10</v>
      </c>
    </row>
    <row r="845">
      <c r="A845" s="5" t="str">
        <f>IFERROR(__xludf.DUMMYFUNCTION("""COMPUTED_VALUE"""),"DBP02000843")</f>
        <v>DBP02000843</v>
      </c>
      <c r="B845" s="5" t="str">
        <f>IFERROR(__xludf.DUMMYFUNCTION("""COMPUTED_VALUE"""),"aniaazizah01@gmail.com")</f>
        <v>aniaazizah01@gmail.com</v>
      </c>
      <c r="C845" s="3">
        <v>222222.0</v>
      </c>
      <c r="D845" s="3" t="s">
        <v>8</v>
      </c>
      <c r="E845" s="3" t="s">
        <v>9</v>
      </c>
      <c r="F845" s="3" t="s">
        <v>10</v>
      </c>
    </row>
    <row r="846">
      <c r="A846" s="5" t="str">
        <f>IFERROR(__xludf.DUMMYFUNCTION("""COMPUTED_VALUE"""),"DBP02000844")</f>
        <v>DBP02000844</v>
      </c>
      <c r="B846" s="5" t="str">
        <f>IFERROR(__xludf.DUMMYFUNCTION("""COMPUTED_VALUE"""),"nikolaswiaryaputra@gmail.com")</f>
        <v>nikolaswiaryaputra@gmail.com</v>
      </c>
      <c r="C846" s="3">
        <v>222222.0</v>
      </c>
      <c r="D846" s="3" t="s">
        <v>8</v>
      </c>
      <c r="E846" s="3" t="s">
        <v>9</v>
      </c>
      <c r="F846" s="3" t="s">
        <v>10</v>
      </c>
    </row>
    <row r="847">
      <c r="A847" s="5" t="str">
        <f>IFERROR(__xludf.DUMMYFUNCTION("""COMPUTED_VALUE"""),"DBP02000845")</f>
        <v>DBP02000845</v>
      </c>
      <c r="B847" s="5" t="str">
        <f>IFERROR(__xludf.DUMMYFUNCTION("""COMPUTED_VALUE"""),"vanyaardeliaa@gmail.com")</f>
        <v>vanyaardeliaa@gmail.com</v>
      </c>
      <c r="C847" s="3">
        <v>222222.0</v>
      </c>
      <c r="D847" s="3" t="s">
        <v>8</v>
      </c>
      <c r="E847" s="3" t="s">
        <v>9</v>
      </c>
      <c r="F847" s="3" t="s">
        <v>10</v>
      </c>
    </row>
    <row r="848">
      <c r="A848" s="5" t="str">
        <f>IFERROR(__xludf.DUMMYFUNCTION("""COMPUTED_VALUE"""),"DBP02000846")</f>
        <v>DBP02000846</v>
      </c>
      <c r="B848" s="5" t="str">
        <f>IFERROR(__xludf.DUMMYFUNCTION("""COMPUTED_VALUE"""),"primafitra53@gmail.com")</f>
        <v>primafitra53@gmail.com</v>
      </c>
      <c r="C848" s="3">
        <v>222222.0</v>
      </c>
      <c r="D848" s="3" t="s">
        <v>8</v>
      </c>
      <c r="E848" s="3" t="s">
        <v>9</v>
      </c>
      <c r="F848" s="3" t="s">
        <v>10</v>
      </c>
    </row>
    <row r="849">
      <c r="A849" s="5" t="str">
        <f>IFERROR(__xludf.DUMMYFUNCTION("""COMPUTED_VALUE"""),"DBP02000847")</f>
        <v>DBP02000847</v>
      </c>
      <c r="B849" s="5" t="str">
        <f>IFERROR(__xludf.DUMMYFUNCTION("""COMPUTED_VALUE"""),"malikramadhan67@gmail.com")</f>
        <v>malikramadhan67@gmail.com</v>
      </c>
      <c r="C849" s="3">
        <v>222222.0</v>
      </c>
      <c r="D849" s="3" t="s">
        <v>8</v>
      </c>
      <c r="E849" s="3" t="s">
        <v>9</v>
      </c>
      <c r="F849" s="3" t="s">
        <v>10</v>
      </c>
    </row>
    <row r="850">
      <c r="A850" s="5" t="str">
        <f>IFERROR(__xludf.DUMMYFUNCTION("""COMPUTED_VALUE"""),"DBP02000848")</f>
        <v>DBP02000848</v>
      </c>
      <c r="B850" s="5" t="str">
        <f>IFERROR(__xludf.DUMMYFUNCTION("""COMPUTED_VALUE"""),"zakynabil511@gmail.com")</f>
        <v>zakynabil511@gmail.com</v>
      </c>
      <c r="C850" s="3">
        <v>222222.0</v>
      </c>
      <c r="D850" s="3" t="s">
        <v>8</v>
      </c>
      <c r="E850" s="3" t="s">
        <v>9</v>
      </c>
      <c r="F850" s="3" t="s">
        <v>10</v>
      </c>
    </row>
    <row r="851">
      <c r="A851" s="5" t="str">
        <f>IFERROR(__xludf.DUMMYFUNCTION("""COMPUTED_VALUE"""),"DBP02000849")</f>
        <v>DBP02000849</v>
      </c>
      <c r="B851" s="5" t="str">
        <f>IFERROR(__xludf.DUMMYFUNCTION("""COMPUTED_VALUE"""),"ribka.soegiharto@gmail.com")</f>
        <v>ribka.soegiharto@gmail.com</v>
      </c>
      <c r="C851" s="3">
        <v>222222.0</v>
      </c>
      <c r="D851" s="3" t="s">
        <v>8</v>
      </c>
      <c r="E851" s="3" t="s">
        <v>9</v>
      </c>
      <c r="F851" s="3" t="s">
        <v>10</v>
      </c>
    </row>
    <row r="852">
      <c r="A852" s="5" t="str">
        <f>IFERROR(__xludf.DUMMYFUNCTION("""COMPUTED_VALUE"""),"DBP02000850")</f>
        <v>DBP02000850</v>
      </c>
      <c r="B852" s="5" t="str">
        <f>IFERROR(__xludf.DUMMYFUNCTION("""COMPUTED_VALUE"""),"ekacrew99@gmail.com")</f>
        <v>ekacrew99@gmail.com</v>
      </c>
      <c r="C852" s="3">
        <v>222222.0</v>
      </c>
      <c r="D852" s="3" t="s">
        <v>8</v>
      </c>
      <c r="E852" s="3" t="s">
        <v>9</v>
      </c>
      <c r="F852" s="3" t="s">
        <v>10</v>
      </c>
    </row>
    <row r="853">
      <c r="A853" s="5" t="str">
        <f>IFERROR(__xludf.DUMMYFUNCTION("""COMPUTED_VALUE"""),"DBP02000851")</f>
        <v>DBP02000851</v>
      </c>
      <c r="B853" s="5" t="str">
        <f>IFERROR(__xludf.DUMMYFUNCTION("""COMPUTED_VALUE"""),"prawirasidik@gmail.com")</f>
        <v>prawirasidik@gmail.com</v>
      </c>
      <c r="C853" s="3">
        <v>222222.0</v>
      </c>
      <c r="D853" s="3" t="s">
        <v>8</v>
      </c>
      <c r="E853" s="3" t="s">
        <v>9</v>
      </c>
      <c r="F853" s="3" t="s">
        <v>10</v>
      </c>
    </row>
    <row r="854">
      <c r="A854" s="5" t="str">
        <f>IFERROR(__xludf.DUMMYFUNCTION("""COMPUTED_VALUE"""),"DBP02000852")</f>
        <v>DBP02000852</v>
      </c>
      <c r="B854" s="5" t="str">
        <f>IFERROR(__xludf.DUMMYFUNCTION("""COMPUTED_VALUE"""),"reginaamanda159@gmail.com")</f>
        <v>reginaamanda159@gmail.com</v>
      </c>
      <c r="C854" s="3">
        <v>222222.0</v>
      </c>
      <c r="D854" s="3" t="s">
        <v>8</v>
      </c>
      <c r="E854" s="3" t="s">
        <v>9</v>
      </c>
      <c r="F854" s="3" t="s">
        <v>10</v>
      </c>
    </row>
    <row r="855">
      <c r="A855" s="5" t="str">
        <f>IFERROR(__xludf.DUMMYFUNCTION("""COMPUTED_VALUE"""),"DBP02000853")</f>
        <v>DBP02000853</v>
      </c>
      <c r="B855" s="5" t="str">
        <f>IFERROR(__xludf.DUMMYFUNCTION("""COMPUTED_VALUE"""),"bintangsonexoticforever@gmail.com")</f>
        <v>bintangsonexoticforever@gmail.com</v>
      </c>
      <c r="C855" s="3">
        <v>222222.0</v>
      </c>
      <c r="D855" s="3" t="s">
        <v>8</v>
      </c>
      <c r="E855" s="3" t="s">
        <v>9</v>
      </c>
      <c r="F855" s="3" t="s">
        <v>10</v>
      </c>
    </row>
    <row r="856">
      <c r="A856" s="5" t="str">
        <f>IFERROR(__xludf.DUMMYFUNCTION("""COMPUTED_VALUE"""),"DBP02000854")</f>
        <v>DBP02000854</v>
      </c>
      <c r="B856" s="5" t="str">
        <f>IFERROR(__xludf.DUMMYFUNCTION("""COMPUTED_VALUE"""),"tiarapermataasri@gmail.com")</f>
        <v>tiarapermataasri@gmail.com</v>
      </c>
      <c r="C856" s="3">
        <v>222222.0</v>
      </c>
      <c r="D856" s="3" t="s">
        <v>8</v>
      </c>
      <c r="E856" s="3" t="s">
        <v>9</v>
      </c>
      <c r="F856" s="3" t="s">
        <v>10</v>
      </c>
    </row>
    <row r="857">
      <c r="A857" s="5" t="str">
        <f>IFERROR(__xludf.DUMMYFUNCTION("""COMPUTED_VALUE"""),"DBP02000855")</f>
        <v>DBP02000855</v>
      </c>
      <c r="B857" s="5" t="str">
        <f>IFERROR(__xludf.DUMMYFUNCTION("""COMPUTED_VALUE"""),"auliagandis@gmail.com")</f>
        <v>auliagandis@gmail.com</v>
      </c>
      <c r="C857" s="3">
        <v>222222.0</v>
      </c>
      <c r="D857" s="3" t="s">
        <v>8</v>
      </c>
      <c r="E857" s="3" t="s">
        <v>9</v>
      </c>
      <c r="F857" s="3" t="s">
        <v>10</v>
      </c>
    </row>
    <row r="858">
      <c r="A858" s="5" t="str">
        <f>IFERROR(__xludf.DUMMYFUNCTION("""COMPUTED_VALUE"""),"DBP02000856")</f>
        <v>DBP02000856</v>
      </c>
      <c r="B858" s="5" t="str">
        <f>IFERROR(__xludf.DUMMYFUNCTION("""COMPUTED_VALUE"""),"widiaaisyah22@gmail.com")</f>
        <v>widiaaisyah22@gmail.com</v>
      </c>
      <c r="C858" s="3">
        <v>222222.0</v>
      </c>
      <c r="D858" s="3" t="s">
        <v>8</v>
      </c>
      <c r="E858" s="3" t="s">
        <v>9</v>
      </c>
      <c r="F858" s="3" t="s">
        <v>10</v>
      </c>
    </row>
    <row r="859">
      <c r="A859" s="5" t="str">
        <f>IFERROR(__xludf.DUMMYFUNCTION("""COMPUTED_VALUE"""),"DBP02000857")</f>
        <v>DBP02000857</v>
      </c>
      <c r="B859" s="5" t="str">
        <f>IFERROR(__xludf.DUMMYFUNCTION("""COMPUTED_VALUE"""),"rianhidayat9151@gmail.com")</f>
        <v>rianhidayat9151@gmail.com</v>
      </c>
      <c r="C859" s="3">
        <v>222222.0</v>
      </c>
      <c r="D859" s="3" t="s">
        <v>8</v>
      </c>
      <c r="E859" s="3" t="s">
        <v>9</v>
      </c>
      <c r="F859" s="3" t="s">
        <v>10</v>
      </c>
    </row>
    <row r="860">
      <c r="A860" s="5" t="str">
        <f>IFERROR(__xludf.DUMMYFUNCTION("""COMPUTED_VALUE"""),"DBP02000858")</f>
        <v>DBP02000858</v>
      </c>
      <c r="B860" s="5" t="str">
        <f>IFERROR(__xludf.DUMMYFUNCTION("""COMPUTED_VALUE"""),"rayhan.yuanezra@gmail.com")</f>
        <v>rayhan.yuanezra@gmail.com</v>
      </c>
      <c r="C860" s="3">
        <v>222222.0</v>
      </c>
      <c r="D860" s="3" t="s">
        <v>8</v>
      </c>
      <c r="E860" s="3" t="s">
        <v>9</v>
      </c>
      <c r="F860" s="3" t="s">
        <v>10</v>
      </c>
    </row>
    <row r="861">
      <c r="A861" s="5" t="str">
        <f>IFERROR(__xludf.DUMMYFUNCTION("""COMPUTED_VALUE"""),"DBP02000859")</f>
        <v>DBP02000859</v>
      </c>
      <c r="B861" s="5" t="str">
        <f>IFERROR(__xludf.DUMMYFUNCTION("""COMPUTED_VALUE"""),"putraumar_20p346@mn.unjani.ac.id")</f>
        <v>putraumar_20p346@mn.unjani.ac.id</v>
      </c>
      <c r="C861" s="3">
        <v>222222.0</v>
      </c>
      <c r="D861" s="3" t="s">
        <v>8</v>
      </c>
      <c r="E861" s="3" t="s">
        <v>9</v>
      </c>
      <c r="F861" s="3" t="s">
        <v>10</v>
      </c>
    </row>
    <row r="862">
      <c r="A862" s="5" t="str">
        <f>IFERROR(__xludf.DUMMYFUNCTION("""COMPUTED_VALUE"""),"DBP02000860")</f>
        <v>DBP02000860</v>
      </c>
      <c r="B862" s="5" t="str">
        <f>IFERROR(__xludf.DUMMYFUNCTION("""COMPUTED_VALUE"""),"hijauhendra@gmail.com")</f>
        <v>hijauhendra@gmail.com</v>
      </c>
      <c r="C862" s="3">
        <v>222222.0</v>
      </c>
      <c r="D862" s="3" t="s">
        <v>8</v>
      </c>
      <c r="E862" s="3" t="s">
        <v>9</v>
      </c>
      <c r="F862" s="3" t="s">
        <v>10</v>
      </c>
    </row>
    <row r="863">
      <c r="A863" s="5" t="str">
        <f>IFERROR(__xludf.DUMMYFUNCTION("""COMPUTED_VALUE"""),"DBP02000861")</f>
        <v>DBP02000861</v>
      </c>
      <c r="B863" s="5" t="str">
        <f>IFERROR(__xludf.DUMMYFUNCTION("""COMPUTED_VALUE"""),"rivano.atk@gmail.com")</f>
        <v>rivano.atk@gmail.com</v>
      </c>
      <c r="C863" s="3">
        <v>222222.0</v>
      </c>
      <c r="D863" s="3" t="s">
        <v>8</v>
      </c>
      <c r="E863" s="3" t="s">
        <v>9</v>
      </c>
      <c r="F863" s="3" t="s">
        <v>10</v>
      </c>
    </row>
    <row r="864">
      <c r="A864" s="5" t="str">
        <f>IFERROR(__xludf.DUMMYFUNCTION("""COMPUTED_VALUE"""),"DBP02000862")</f>
        <v>DBP02000862</v>
      </c>
      <c r="B864" s="5" t="str">
        <f>IFERROR(__xludf.DUMMYFUNCTION("""COMPUTED_VALUE"""),"vannesshalim12@gmail.com")</f>
        <v>vannesshalim12@gmail.com</v>
      </c>
      <c r="C864" s="3">
        <v>222222.0</v>
      </c>
      <c r="D864" s="3" t="s">
        <v>8</v>
      </c>
      <c r="E864" s="3" t="s">
        <v>9</v>
      </c>
      <c r="F864" s="3" t="s">
        <v>10</v>
      </c>
    </row>
    <row r="865">
      <c r="A865" s="5" t="str">
        <f>IFERROR(__xludf.DUMMYFUNCTION("""COMPUTED_VALUE"""),"DBP02000863")</f>
        <v>DBP02000863</v>
      </c>
      <c r="B865" s="5" t="str">
        <f>IFERROR(__xludf.DUMMYFUNCTION("""COMPUTED_VALUE"""),"yanuaragung.2020@student.uny.ac.id")</f>
        <v>yanuaragung.2020@student.uny.ac.id</v>
      </c>
      <c r="C865" s="3">
        <v>222222.0</v>
      </c>
      <c r="D865" s="3" t="s">
        <v>8</v>
      </c>
      <c r="E865" s="3" t="s">
        <v>9</v>
      </c>
      <c r="F865" s="3" t="s">
        <v>10</v>
      </c>
    </row>
    <row r="866">
      <c r="A866" s="5" t="str">
        <f>IFERROR(__xludf.DUMMYFUNCTION("""COMPUTED_VALUE"""),"DBP02000864")</f>
        <v>DBP02000864</v>
      </c>
      <c r="B866" s="5" t="str">
        <f>IFERROR(__xludf.DUMMYFUNCTION("""COMPUTED_VALUE"""),"catharina.krissanti@gmail.com")</f>
        <v>catharina.krissanti@gmail.com</v>
      </c>
      <c r="C866" s="3">
        <v>222222.0</v>
      </c>
      <c r="D866" s="3" t="s">
        <v>8</v>
      </c>
      <c r="E866" s="3" t="s">
        <v>9</v>
      </c>
      <c r="F866" s="3" t="s">
        <v>10</v>
      </c>
    </row>
    <row r="867">
      <c r="A867" s="5" t="str">
        <f>IFERROR(__xludf.DUMMYFUNCTION("""COMPUTED_VALUE"""),"DBP02000865")</f>
        <v>DBP02000865</v>
      </c>
      <c r="B867" s="5" t="str">
        <f>IFERROR(__xludf.DUMMYFUNCTION("""COMPUTED_VALUE"""),"gunayes.ray@gmail.com")</f>
        <v>gunayes.ray@gmail.com</v>
      </c>
      <c r="C867" s="3">
        <v>222222.0</v>
      </c>
      <c r="D867" s="3" t="s">
        <v>8</v>
      </c>
      <c r="E867" s="3" t="s">
        <v>9</v>
      </c>
      <c r="F867" s="3" t="s">
        <v>10</v>
      </c>
    </row>
    <row r="868">
      <c r="A868" s="5" t="str">
        <f>IFERROR(__xludf.DUMMYFUNCTION("""COMPUTED_VALUE"""),"DBP02000866")</f>
        <v>DBP02000866</v>
      </c>
      <c r="B868" s="5" t="str">
        <f>IFERROR(__xludf.DUMMYFUNCTION("""COMPUTED_VALUE"""),"afifiatfi@gmail.com")</f>
        <v>afifiatfi@gmail.com</v>
      </c>
      <c r="C868" s="3">
        <v>222222.0</v>
      </c>
      <c r="D868" s="3" t="s">
        <v>8</v>
      </c>
      <c r="E868" s="3" t="s">
        <v>9</v>
      </c>
      <c r="F868" s="3" t="s">
        <v>10</v>
      </c>
    </row>
    <row r="869">
      <c r="A869" s="5" t="str">
        <f>IFERROR(__xludf.DUMMYFUNCTION("""COMPUTED_VALUE"""),"DBP02000867")</f>
        <v>DBP02000867</v>
      </c>
      <c r="B869" s="5" t="str">
        <f>IFERROR(__xludf.DUMMYFUNCTION("""COMPUTED_VALUE"""),"farelaz75@gmail.com")</f>
        <v>farelaz75@gmail.com</v>
      </c>
      <c r="C869" s="3">
        <v>222222.0</v>
      </c>
      <c r="D869" s="3" t="s">
        <v>8</v>
      </c>
      <c r="E869" s="3" t="s">
        <v>9</v>
      </c>
      <c r="F869" s="3" t="s">
        <v>10</v>
      </c>
    </row>
    <row r="870">
      <c r="A870" s="5" t="str">
        <f>IFERROR(__xludf.DUMMYFUNCTION("""COMPUTED_VALUE"""),"DBP02000868")</f>
        <v>DBP02000868</v>
      </c>
      <c r="B870" s="5" t="str">
        <f>IFERROR(__xludf.DUMMYFUNCTION("""COMPUTED_VALUE"""),"keziatheodoris@gmail.com")</f>
        <v>keziatheodoris@gmail.com</v>
      </c>
      <c r="C870" s="3">
        <v>222222.0</v>
      </c>
      <c r="D870" s="3" t="s">
        <v>8</v>
      </c>
      <c r="E870" s="3" t="s">
        <v>9</v>
      </c>
      <c r="F870" s="3" t="s">
        <v>10</v>
      </c>
    </row>
    <row r="871">
      <c r="A871" s="5" t="str">
        <f>IFERROR(__xludf.DUMMYFUNCTION("""COMPUTED_VALUE"""),"DBP02000869")</f>
        <v>DBP02000869</v>
      </c>
      <c r="B871" s="5" t="str">
        <f>IFERROR(__xludf.DUMMYFUNCTION("""COMPUTED_VALUE"""),"wildancfc@gmail.com")</f>
        <v>wildancfc@gmail.com</v>
      </c>
      <c r="C871" s="3">
        <v>222222.0</v>
      </c>
      <c r="D871" s="3" t="s">
        <v>8</v>
      </c>
      <c r="E871" s="3" t="s">
        <v>9</v>
      </c>
      <c r="F871" s="3" t="s">
        <v>10</v>
      </c>
    </row>
    <row r="872">
      <c r="A872" s="5" t="str">
        <f>IFERROR(__xludf.DUMMYFUNCTION("""COMPUTED_VALUE"""),"DBP02000870")</f>
        <v>DBP02000870</v>
      </c>
      <c r="B872" s="5" t="str">
        <f>IFERROR(__xludf.DUMMYFUNCTION("""COMPUTED_VALUE"""),"kevinroy544@gmail.com")</f>
        <v>kevinroy544@gmail.com</v>
      </c>
      <c r="C872" s="3">
        <v>222222.0</v>
      </c>
      <c r="D872" s="3" t="s">
        <v>8</v>
      </c>
      <c r="E872" s="3" t="s">
        <v>9</v>
      </c>
      <c r="F872" s="3" t="s">
        <v>10</v>
      </c>
    </row>
    <row r="873">
      <c r="A873" s="5" t="str">
        <f>IFERROR(__xludf.DUMMYFUNCTION("""COMPUTED_VALUE"""),"DBP02000871")</f>
        <v>DBP02000871</v>
      </c>
      <c r="B873" s="5" t="str">
        <f>IFERROR(__xludf.DUMMYFUNCTION("""COMPUTED_VALUE"""),"jessicawindaprima@gmail.com")</f>
        <v>jessicawindaprima@gmail.com</v>
      </c>
      <c r="C873" s="3">
        <v>222222.0</v>
      </c>
      <c r="D873" s="3" t="s">
        <v>8</v>
      </c>
      <c r="E873" s="3" t="s">
        <v>9</v>
      </c>
      <c r="F873" s="3" t="s">
        <v>10</v>
      </c>
    </row>
    <row r="874">
      <c r="A874" s="5" t="str">
        <f>IFERROR(__xludf.DUMMYFUNCTION("""COMPUTED_VALUE"""),"DBP02000872")</f>
        <v>DBP02000872</v>
      </c>
      <c r="B874" s="5" t="str">
        <f>IFERROR(__xludf.DUMMYFUNCTION("""COMPUTED_VALUE"""),"nurintan.2019@student.uny.ac.id")</f>
        <v>nurintan.2019@student.uny.ac.id</v>
      </c>
      <c r="C874" s="3">
        <v>222222.0</v>
      </c>
      <c r="D874" s="3" t="s">
        <v>8</v>
      </c>
      <c r="E874" s="3" t="s">
        <v>9</v>
      </c>
      <c r="F874" s="3" t="s">
        <v>10</v>
      </c>
    </row>
    <row r="875">
      <c r="A875" s="5" t="str">
        <f>IFERROR(__xludf.DUMMYFUNCTION("""COMPUTED_VALUE"""),"DBP02000873")</f>
        <v>DBP02000873</v>
      </c>
      <c r="B875" s="5" t="str">
        <f>IFERROR(__xludf.DUMMYFUNCTION("""COMPUTED_VALUE"""),"vivirosianrahmadika@gmail.com")</f>
        <v>vivirosianrahmadika@gmail.com</v>
      </c>
      <c r="C875" s="3">
        <v>222222.0</v>
      </c>
      <c r="D875" s="3" t="s">
        <v>8</v>
      </c>
      <c r="E875" s="3" t="s">
        <v>9</v>
      </c>
      <c r="F875" s="3" t="s">
        <v>10</v>
      </c>
    </row>
    <row r="876">
      <c r="A876" s="5" t="str">
        <f>IFERROR(__xludf.DUMMYFUNCTION("""COMPUTED_VALUE"""),"DBP02000874")</f>
        <v>DBP02000874</v>
      </c>
      <c r="B876" s="5" t="str">
        <f>IFERROR(__xludf.DUMMYFUNCTION("""COMPUTED_VALUE"""),"fauzi.pr@gmail.com")</f>
        <v>fauzi.pr@gmail.com</v>
      </c>
      <c r="C876" s="3">
        <v>222222.0</v>
      </c>
      <c r="D876" s="3" t="s">
        <v>8</v>
      </c>
      <c r="E876" s="3" t="s">
        <v>9</v>
      </c>
      <c r="F876" s="3" t="s">
        <v>10</v>
      </c>
    </row>
    <row r="877">
      <c r="A877" s="5" t="str">
        <f>IFERROR(__xludf.DUMMYFUNCTION("""COMPUTED_VALUE"""),"DBP02000875")</f>
        <v>DBP02000875</v>
      </c>
      <c r="B877" s="5" t="str">
        <f>IFERROR(__xludf.DUMMYFUNCTION("""COMPUTED_VALUE"""),"amellindakarinaputri@gmail.com")</f>
        <v>amellindakarinaputri@gmail.com</v>
      </c>
      <c r="C877" s="3">
        <v>222222.0</v>
      </c>
      <c r="D877" s="3" t="s">
        <v>8</v>
      </c>
      <c r="E877" s="3" t="s">
        <v>9</v>
      </c>
      <c r="F877" s="3" t="s">
        <v>10</v>
      </c>
    </row>
    <row r="878">
      <c r="A878" s="5" t="str">
        <f>IFERROR(__xludf.DUMMYFUNCTION("""COMPUTED_VALUE"""),"DBP02000876")</f>
        <v>DBP02000876</v>
      </c>
      <c r="B878" s="5" t="str">
        <f>IFERROR(__xludf.DUMMYFUNCTION("""COMPUTED_VALUE"""),"wayanprema88@gmail.com")</f>
        <v>wayanprema88@gmail.com</v>
      </c>
      <c r="C878" s="3">
        <v>222222.0</v>
      </c>
      <c r="D878" s="3" t="s">
        <v>8</v>
      </c>
      <c r="E878" s="3" t="s">
        <v>9</v>
      </c>
      <c r="F878" s="3" t="s">
        <v>10</v>
      </c>
    </row>
    <row r="879">
      <c r="A879" s="5" t="str">
        <f>IFERROR(__xludf.DUMMYFUNCTION("""COMPUTED_VALUE"""),"DBP02000877")</f>
        <v>DBP02000877</v>
      </c>
      <c r="B879" s="5"/>
      <c r="C879" s="3">
        <v>222222.0</v>
      </c>
      <c r="D879" s="3" t="s">
        <v>8</v>
      </c>
      <c r="E879" s="3" t="s">
        <v>9</v>
      </c>
      <c r="F879" s="3" t="s">
        <v>10</v>
      </c>
    </row>
    <row r="880">
      <c r="A880" s="5" t="str">
        <f>IFERROR(__xludf.DUMMYFUNCTION("""COMPUTED_VALUE"""),"DBP02000878")</f>
        <v>DBP02000878</v>
      </c>
      <c r="B880" s="5" t="str">
        <f>IFERROR(__xludf.DUMMYFUNCTION("""COMPUTED_VALUE"""),"rizkypratamanovel@gmail.com")</f>
        <v>rizkypratamanovel@gmail.com</v>
      </c>
      <c r="C880" s="3">
        <v>222222.0</v>
      </c>
      <c r="D880" s="3" t="s">
        <v>8</v>
      </c>
      <c r="E880" s="3" t="s">
        <v>9</v>
      </c>
      <c r="F880" s="3" t="s">
        <v>10</v>
      </c>
    </row>
    <row r="881">
      <c r="A881" s="5" t="str">
        <f>IFERROR(__xludf.DUMMYFUNCTION("""COMPUTED_VALUE"""),"DBP02000879")</f>
        <v>DBP02000879</v>
      </c>
      <c r="B881" s="5" t="str">
        <f>IFERROR(__xludf.DUMMYFUNCTION("""COMPUTED_VALUE"""),"ariefsetyo1@gmail.com")</f>
        <v>ariefsetyo1@gmail.com</v>
      </c>
      <c r="C881" s="3">
        <v>222222.0</v>
      </c>
      <c r="D881" s="3" t="s">
        <v>8</v>
      </c>
      <c r="E881" s="3" t="s">
        <v>9</v>
      </c>
      <c r="F881" s="3" t="s">
        <v>10</v>
      </c>
    </row>
    <row r="882">
      <c r="A882" s="5" t="str">
        <f>IFERROR(__xludf.DUMMYFUNCTION("""COMPUTED_VALUE"""),"DBP02000880")</f>
        <v>DBP02000880</v>
      </c>
      <c r="B882" s="5" t="str">
        <f>IFERROR(__xludf.DUMMYFUNCTION("""COMPUTED_VALUE"""),"filasafiamarsya@gmail.com")</f>
        <v>filasafiamarsya@gmail.com</v>
      </c>
      <c r="C882" s="3">
        <v>222222.0</v>
      </c>
      <c r="D882" s="3" t="s">
        <v>8</v>
      </c>
      <c r="E882" s="3" t="s">
        <v>9</v>
      </c>
      <c r="F882" s="3" t="s">
        <v>10</v>
      </c>
    </row>
    <row r="883">
      <c r="A883" s="5" t="str">
        <f>IFERROR(__xludf.DUMMYFUNCTION("""COMPUTED_VALUE"""),"DBP02000881")</f>
        <v>DBP02000881</v>
      </c>
      <c r="B883" s="5" t="str">
        <f>IFERROR(__xludf.DUMMYFUNCTION("""COMPUTED_VALUE"""),"thaniapuspa123@gmail.com")</f>
        <v>thaniapuspa123@gmail.com</v>
      </c>
      <c r="C883" s="3">
        <v>222222.0</v>
      </c>
      <c r="D883" s="3" t="s">
        <v>8</v>
      </c>
      <c r="E883" s="3" t="s">
        <v>9</v>
      </c>
      <c r="F883" s="3" t="s">
        <v>10</v>
      </c>
    </row>
    <row r="884">
      <c r="A884" s="5" t="str">
        <f>IFERROR(__xludf.DUMMYFUNCTION("""COMPUTED_VALUE"""),"DBP02000882")</f>
        <v>DBP02000882</v>
      </c>
      <c r="B884" s="5" t="str">
        <f>IFERROR(__xludf.DUMMYFUNCTION("""COMPUTED_VALUE"""),"sintiawidia68@gmail.com")</f>
        <v>sintiawidia68@gmail.com</v>
      </c>
      <c r="C884" s="3">
        <v>222222.0</v>
      </c>
      <c r="D884" s="3" t="s">
        <v>8</v>
      </c>
      <c r="E884" s="3" t="s">
        <v>9</v>
      </c>
      <c r="F884" s="3" t="s">
        <v>10</v>
      </c>
    </row>
    <row r="885">
      <c r="A885" s="5" t="str">
        <f>IFERROR(__xludf.DUMMYFUNCTION("""COMPUTED_VALUE"""),"DBP02000883")</f>
        <v>DBP02000883</v>
      </c>
      <c r="B885" s="5" t="str">
        <f>IFERROR(__xludf.DUMMYFUNCTION("""COMPUTED_VALUE"""),"zabidina@gmail.com")</f>
        <v>zabidina@gmail.com</v>
      </c>
      <c r="C885" s="3">
        <v>222222.0</v>
      </c>
      <c r="D885" s="3" t="s">
        <v>8</v>
      </c>
      <c r="E885" s="3" t="s">
        <v>9</v>
      </c>
      <c r="F885" s="3" t="s">
        <v>10</v>
      </c>
    </row>
    <row r="886">
      <c r="A886" s="5" t="str">
        <f>IFERROR(__xludf.DUMMYFUNCTION("""COMPUTED_VALUE"""),"DBP02000884")</f>
        <v>DBP02000884</v>
      </c>
      <c r="B886" s="5" t="str">
        <f>IFERROR(__xludf.DUMMYFUNCTION("""COMPUTED_VALUE"""),"niamzaki1@gmail.com")</f>
        <v>niamzaki1@gmail.com</v>
      </c>
      <c r="C886" s="3">
        <v>222222.0</v>
      </c>
      <c r="D886" s="3" t="s">
        <v>8</v>
      </c>
      <c r="E886" s="3" t="s">
        <v>9</v>
      </c>
      <c r="F886" s="3" t="s">
        <v>10</v>
      </c>
    </row>
    <row r="887">
      <c r="A887" s="5" t="str">
        <f>IFERROR(__xludf.DUMMYFUNCTION("""COMPUTED_VALUE"""),"DBP02000885")</f>
        <v>DBP02000885</v>
      </c>
      <c r="B887" s="5" t="str">
        <f>IFERROR(__xludf.DUMMYFUNCTION("""COMPUTED_VALUE"""),"beltian93@gmail.com")</f>
        <v>beltian93@gmail.com</v>
      </c>
      <c r="C887" s="3">
        <v>222222.0</v>
      </c>
      <c r="D887" s="3" t="s">
        <v>8</v>
      </c>
      <c r="E887" s="3" t="s">
        <v>9</v>
      </c>
      <c r="F887" s="3" t="s">
        <v>10</v>
      </c>
    </row>
    <row r="888">
      <c r="A888" s="5" t="str">
        <f>IFERROR(__xludf.DUMMYFUNCTION("""COMPUTED_VALUE"""),"DBP02000886")</f>
        <v>DBP02000886</v>
      </c>
      <c r="B888" s="5" t="str">
        <f>IFERROR(__xludf.DUMMYFUNCTION("""COMPUTED_VALUE"""),"okselia.ila@gmail.com")</f>
        <v>okselia.ila@gmail.com</v>
      </c>
      <c r="C888" s="3">
        <v>222222.0</v>
      </c>
      <c r="D888" s="3" t="s">
        <v>8</v>
      </c>
      <c r="E888" s="3" t="s">
        <v>9</v>
      </c>
      <c r="F888" s="3" t="s">
        <v>10</v>
      </c>
    </row>
    <row r="889">
      <c r="A889" s="5" t="str">
        <f>IFERROR(__xludf.DUMMYFUNCTION("""COMPUTED_VALUE"""),"DBP02000887")</f>
        <v>DBP02000887</v>
      </c>
      <c r="B889" s="5" t="str">
        <f>IFERROR(__xludf.DUMMYFUNCTION("""COMPUTED_VALUE"""),"dickipangestu17@gmail.com")</f>
        <v>dickipangestu17@gmail.com</v>
      </c>
      <c r="C889" s="3">
        <v>222222.0</v>
      </c>
      <c r="D889" s="3" t="s">
        <v>8</v>
      </c>
      <c r="E889" s="3" t="s">
        <v>9</v>
      </c>
      <c r="F889" s="3" t="s">
        <v>10</v>
      </c>
    </row>
    <row r="890">
      <c r="A890" s="5" t="str">
        <f>IFERROR(__xludf.DUMMYFUNCTION("""COMPUTED_VALUE"""),"DBP02000888")</f>
        <v>DBP02000888</v>
      </c>
      <c r="B890" s="5" t="str">
        <f>IFERROR(__xludf.DUMMYFUNCTION("""COMPUTED_VALUE"""),"ivanhernadin@gmail.com")</f>
        <v>ivanhernadin@gmail.com</v>
      </c>
      <c r="C890" s="3">
        <v>222222.0</v>
      </c>
      <c r="D890" s="3" t="s">
        <v>8</v>
      </c>
      <c r="E890" s="3" t="s">
        <v>9</v>
      </c>
      <c r="F890" s="3" t="s">
        <v>10</v>
      </c>
    </row>
    <row r="891">
      <c r="A891" s="5" t="str">
        <f>IFERROR(__xludf.DUMMYFUNCTION("""COMPUTED_VALUE"""),"DBP02000889")</f>
        <v>DBP02000889</v>
      </c>
      <c r="B891" s="5" t="str">
        <f>IFERROR(__xludf.DUMMYFUNCTION("""COMPUTED_VALUE"""),"audreydibka@gmail.com")</f>
        <v>audreydibka@gmail.com</v>
      </c>
      <c r="C891" s="3">
        <v>222222.0</v>
      </c>
      <c r="D891" s="3" t="s">
        <v>8</v>
      </c>
      <c r="E891" s="3" t="s">
        <v>9</v>
      </c>
      <c r="F891" s="3" t="s">
        <v>10</v>
      </c>
    </row>
    <row r="892">
      <c r="A892" s="5" t="str">
        <f>IFERROR(__xludf.DUMMYFUNCTION("""COMPUTED_VALUE"""),"DBP02000890")</f>
        <v>DBP02000890</v>
      </c>
      <c r="B892" s="5" t="str">
        <f>IFERROR(__xludf.DUMMYFUNCTION("""COMPUTED_VALUE"""),"lindamufarida7@gmail.com")</f>
        <v>lindamufarida7@gmail.com</v>
      </c>
      <c r="C892" s="3">
        <v>222222.0</v>
      </c>
      <c r="D892" s="3" t="s">
        <v>8</v>
      </c>
      <c r="E892" s="3" t="s">
        <v>9</v>
      </c>
      <c r="F892" s="3" t="s">
        <v>10</v>
      </c>
    </row>
    <row r="893">
      <c r="A893" s="5" t="str">
        <f>IFERROR(__xludf.DUMMYFUNCTION("""COMPUTED_VALUE"""),"DBP02000891")</f>
        <v>DBP02000891</v>
      </c>
      <c r="B893" s="5" t="str">
        <f>IFERROR(__xludf.DUMMYFUNCTION("""COMPUTED_VALUE"""),"adamthariqaljihad@gmail.com")</f>
        <v>adamthariqaljihad@gmail.com</v>
      </c>
      <c r="C893" s="3">
        <v>222222.0</v>
      </c>
      <c r="D893" s="3" t="s">
        <v>8</v>
      </c>
      <c r="E893" s="3" t="s">
        <v>9</v>
      </c>
      <c r="F893" s="3" t="s">
        <v>10</v>
      </c>
    </row>
    <row r="894">
      <c r="A894" s="5" t="str">
        <f>IFERROR(__xludf.DUMMYFUNCTION("""COMPUTED_VALUE"""),"DBP02000892")</f>
        <v>DBP02000892</v>
      </c>
      <c r="B894" s="5" t="str">
        <f>IFERROR(__xludf.DUMMYFUNCTION("""COMPUTED_VALUE"""),"meilanitasya21@gmail.com")</f>
        <v>meilanitasya21@gmail.com</v>
      </c>
      <c r="C894" s="3">
        <v>222222.0</v>
      </c>
      <c r="D894" s="3" t="s">
        <v>8</v>
      </c>
      <c r="E894" s="3" t="s">
        <v>9</v>
      </c>
      <c r="F894" s="3" t="s">
        <v>10</v>
      </c>
    </row>
    <row r="895">
      <c r="A895" s="5" t="str">
        <f>IFERROR(__xludf.DUMMYFUNCTION("""COMPUTED_VALUE"""),"DBP02000893")</f>
        <v>DBP02000893</v>
      </c>
      <c r="B895" s="5" t="str">
        <f>IFERROR(__xludf.DUMMYFUNCTION("""COMPUTED_VALUE"""),"rifkahumaida3@gmail.com")</f>
        <v>rifkahumaida3@gmail.com</v>
      </c>
      <c r="C895" s="3">
        <v>222222.0</v>
      </c>
      <c r="D895" s="3" t="s">
        <v>8</v>
      </c>
      <c r="E895" s="3" t="s">
        <v>9</v>
      </c>
      <c r="F895" s="3" t="s">
        <v>10</v>
      </c>
    </row>
    <row r="896">
      <c r="A896" s="5" t="str">
        <f>IFERROR(__xludf.DUMMYFUNCTION("""COMPUTED_VALUE"""),"DBP02000894")</f>
        <v>DBP02000894</v>
      </c>
      <c r="B896" s="5" t="str">
        <f>IFERROR(__xludf.DUMMYFUNCTION("""COMPUTED_VALUE"""),"paulinavina91@gmail.com")</f>
        <v>paulinavina91@gmail.com</v>
      </c>
      <c r="C896" s="3">
        <v>222222.0</v>
      </c>
      <c r="D896" s="3" t="s">
        <v>8</v>
      </c>
      <c r="E896" s="3" t="s">
        <v>9</v>
      </c>
      <c r="F896" s="3" t="s">
        <v>10</v>
      </c>
    </row>
    <row r="897">
      <c r="A897" s="5" t="str">
        <f>IFERROR(__xludf.DUMMYFUNCTION("""COMPUTED_VALUE"""),"DBP02000895")</f>
        <v>DBP02000895</v>
      </c>
      <c r="B897" s="5" t="str">
        <f>IFERROR(__xludf.DUMMYFUNCTION("""COMPUTED_VALUE"""),"mhalifuddin@gmail.com")</f>
        <v>mhalifuddin@gmail.com</v>
      </c>
      <c r="C897" s="3">
        <v>222222.0</v>
      </c>
      <c r="D897" s="3" t="s">
        <v>8</v>
      </c>
      <c r="E897" s="3" t="s">
        <v>9</v>
      </c>
      <c r="F897" s="3" t="s">
        <v>10</v>
      </c>
    </row>
    <row r="898">
      <c r="A898" s="5" t="str">
        <f>IFERROR(__xludf.DUMMYFUNCTION("""COMPUTED_VALUE"""),"DBP02000896")</f>
        <v>DBP02000896</v>
      </c>
      <c r="B898" s="5"/>
      <c r="C898" s="3">
        <v>222222.0</v>
      </c>
      <c r="D898" s="3" t="s">
        <v>8</v>
      </c>
      <c r="E898" s="3" t="s">
        <v>9</v>
      </c>
      <c r="F898" s="3" t="s">
        <v>10</v>
      </c>
    </row>
    <row r="899">
      <c r="A899" s="5" t="str">
        <f>IFERROR(__xludf.DUMMYFUNCTION("""COMPUTED_VALUE"""),"DBP02000897")</f>
        <v>DBP02000897</v>
      </c>
      <c r="B899" s="5" t="str">
        <f>IFERROR(__xludf.DUMMYFUNCTION("""COMPUTED_VALUE"""),"metta.padmalia7@gmail.com")</f>
        <v>metta.padmalia7@gmail.com</v>
      </c>
      <c r="C899" s="3">
        <v>222222.0</v>
      </c>
      <c r="D899" s="3" t="s">
        <v>8</v>
      </c>
      <c r="E899" s="3" t="s">
        <v>9</v>
      </c>
      <c r="F899" s="3" t="s">
        <v>10</v>
      </c>
    </row>
    <row r="900">
      <c r="A900" s="5" t="str">
        <f>IFERROR(__xludf.DUMMYFUNCTION("""COMPUTED_VALUE"""),"DBP02000898")</f>
        <v>DBP02000898</v>
      </c>
      <c r="B900" s="5" t="str">
        <f>IFERROR(__xludf.DUMMYFUNCTION("""COMPUTED_VALUE"""),"ghifariramdhan1@gmail.com")</f>
        <v>ghifariramdhan1@gmail.com</v>
      </c>
      <c r="C900" s="3">
        <v>222222.0</v>
      </c>
      <c r="D900" s="3" t="s">
        <v>8</v>
      </c>
      <c r="E900" s="3" t="s">
        <v>9</v>
      </c>
      <c r="F900" s="3" t="s">
        <v>10</v>
      </c>
    </row>
    <row r="901">
      <c r="A901" s="5" t="str">
        <f>IFERROR(__xludf.DUMMYFUNCTION("""COMPUTED_VALUE"""),"DBP02000899")</f>
        <v>DBP02000899</v>
      </c>
      <c r="B901" s="5" t="str">
        <f>IFERROR(__xludf.DUMMYFUNCTION("""COMPUTED_VALUE"""),"rinaaprianichen@gmail.com")</f>
        <v>rinaaprianichen@gmail.com</v>
      </c>
      <c r="C901" s="3">
        <v>222222.0</v>
      </c>
      <c r="D901" s="3" t="s">
        <v>8</v>
      </c>
      <c r="E901" s="3" t="s">
        <v>9</v>
      </c>
      <c r="F901" s="3" t="s">
        <v>10</v>
      </c>
    </row>
    <row r="902">
      <c r="A902" s="5" t="str">
        <f>IFERROR(__xludf.DUMMYFUNCTION("""COMPUTED_VALUE"""),"DBP02000900")</f>
        <v>DBP02000900</v>
      </c>
      <c r="B902" s="5" t="str">
        <f>IFERROR(__xludf.DUMMYFUNCTION("""COMPUTED_VALUE"""),"fatihalita23@gmail.com")</f>
        <v>fatihalita23@gmail.com</v>
      </c>
      <c r="C902" s="3">
        <v>222222.0</v>
      </c>
      <c r="D902" s="3" t="s">
        <v>8</v>
      </c>
      <c r="E902" s="3" t="s">
        <v>9</v>
      </c>
      <c r="F902" s="3" t="s">
        <v>10</v>
      </c>
    </row>
    <row r="903">
      <c r="A903" s="5" t="str">
        <f>IFERROR(__xludf.DUMMYFUNCTION("""COMPUTED_VALUE"""),"DBP02000901")</f>
        <v>DBP02000901</v>
      </c>
      <c r="B903" s="5" t="str">
        <f>IFERROR(__xludf.DUMMYFUNCTION("""COMPUTED_VALUE"""),"autaminasrun@gmail.com")</f>
        <v>autaminasrun@gmail.com</v>
      </c>
      <c r="C903" s="3">
        <v>222222.0</v>
      </c>
      <c r="D903" s="3" t="s">
        <v>8</v>
      </c>
      <c r="E903" s="3" t="s">
        <v>9</v>
      </c>
      <c r="F903" s="3" t="s">
        <v>10</v>
      </c>
    </row>
    <row r="904">
      <c r="A904" s="5" t="str">
        <f>IFERROR(__xludf.DUMMYFUNCTION("""COMPUTED_VALUE"""),"DBP02000902")</f>
        <v>DBP02000902</v>
      </c>
      <c r="B904" s="5" t="str">
        <f>IFERROR(__xludf.DUMMYFUNCTION("""COMPUTED_VALUE"""),"nitayudasari@gmail.com")</f>
        <v>nitayudasari@gmail.com</v>
      </c>
      <c r="C904" s="3">
        <v>222222.0</v>
      </c>
      <c r="D904" s="3" t="s">
        <v>8</v>
      </c>
      <c r="E904" s="3" t="s">
        <v>9</v>
      </c>
      <c r="F904" s="3" t="s">
        <v>10</v>
      </c>
    </row>
    <row r="905">
      <c r="A905" s="5" t="str">
        <f>IFERROR(__xludf.DUMMYFUNCTION("""COMPUTED_VALUE"""),"DBP02000903")</f>
        <v>DBP02000903</v>
      </c>
      <c r="B905" s="5" t="str">
        <f>IFERROR(__xludf.DUMMYFUNCTION("""COMPUTED_VALUE"""),"roniuseldwin21@gmail.com")</f>
        <v>roniuseldwin21@gmail.com</v>
      </c>
      <c r="C905" s="3">
        <v>222222.0</v>
      </c>
      <c r="D905" s="3" t="s">
        <v>8</v>
      </c>
      <c r="E905" s="3" t="s">
        <v>9</v>
      </c>
      <c r="F905" s="3" t="s">
        <v>10</v>
      </c>
    </row>
    <row r="906">
      <c r="A906" s="5" t="str">
        <f>IFERROR(__xludf.DUMMYFUNCTION("""COMPUTED_VALUE"""),"DBP02000904")</f>
        <v>DBP02000904</v>
      </c>
      <c r="B906" s="5" t="str">
        <f>IFERROR(__xludf.DUMMYFUNCTION("""COMPUTED_VALUE"""),"fauzanmtz@gmail.com")</f>
        <v>fauzanmtz@gmail.com</v>
      </c>
      <c r="C906" s="3">
        <v>222222.0</v>
      </c>
      <c r="D906" s="3" t="s">
        <v>8</v>
      </c>
      <c r="E906" s="3" t="s">
        <v>9</v>
      </c>
      <c r="F906" s="3" t="s">
        <v>10</v>
      </c>
    </row>
    <row r="907">
      <c r="A907" s="5" t="str">
        <f>IFERROR(__xludf.DUMMYFUNCTION("""COMPUTED_VALUE"""),"DBP02000905")</f>
        <v>DBP02000905</v>
      </c>
      <c r="B907" s="5" t="str">
        <f>IFERROR(__xludf.DUMMYFUNCTION("""COMPUTED_VALUE"""),"eanandita@gmail.com")</f>
        <v>eanandita@gmail.com</v>
      </c>
      <c r="C907" s="3">
        <v>222222.0</v>
      </c>
      <c r="D907" s="3" t="s">
        <v>8</v>
      </c>
      <c r="E907" s="3" t="s">
        <v>9</v>
      </c>
      <c r="F907" s="3" t="s">
        <v>10</v>
      </c>
    </row>
    <row r="908">
      <c r="A908" s="5" t="str">
        <f>IFERROR(__xludf.DUMMYFUNCTION("""COMPUTED_VALUE"""),"DBP02000906")</f>
        <v>DBP02000906</v>
      </c>
      <c r="B908" s="5" t="str">
        <f>IFERROR(__xludf.DUMMYFUNCTION("""COMPUTED_VALUE"""),"bagusdermawan243@gmail.com")</f>
        <v>bagusdermawan243@gmail.com</v>
      </c>
      <c r="C908" s="3">
        <v>222222.0</v>
      </c>
      <c r="D908" s="3" t="s">
        <v>8</v>
      </c>
      <c r="E908" s="3" t="s">
        <v>9</v>
      </c>
      <c r="F908" s="3" t="s">
        <v>10</v>
      </c>
    </row>
    <row r="909">
      <c r="A909" s="5" t="str">
        <f>IFERROR(__xludf.DUMMYFUNCTION("""COMPUTED_VALUE"""),"DBP02000907")</f>
        <v>DBP02000907</v>
      </c>
      <c r="B909" s="5" t="str">
        <f>IFERROR(__xludf.DUMMYFUNCTION("""COMPUTED_VALUE"""),"hasbi.shidqi.fauzi@gmail.com")</f>
        <v>hasbi.shidqi.fauzi@gmail.com</v>
      </c>
      <c r="C909" s="3">
        <v>222222.0</v>
      </c>
      <c r="D909" s="3" t="s">
        <v>8</v>
      </c>
      <c r="E909" s="3" t="s">
        <v>9</v>
      </c>
      <c r="F909" s="3" t="s">
        <v>10</v>
      </c>
    </row>
    <row r="910">
      <c r="A910" s="5" t="str">
        <f>IFERROR(__xludf.DUMMYFUNCTION("""COMPUTED_VALUE"""),"DBP02000908")</f>
        <v>DBP02000908</v>
      </c>
      <c r="B910" s="5" t="str">
        <f>IFERROR(__xludf.DUMMYFUNCTION("""COMPUTED_VALUE"""),"helenaawidjajaa@gmail.com")</f>
        <v>helenaawidjajaa@gmail.com</v>
      </c>
      <c r="C910" s="3">
        <v>222222.0</v>
      </c>
      <c r="D910" s="3" t="s">
        <v>8</v>
      </c>
      <c r="E910" s="3" t="s">
        <v>9</v>
      </c>
      <c r="F910" s="3" t="s">
        <v>10</v>
      </c>
    </row>
    <row r="911">
      <c r="A911" s="5" t="str">
        <f>IFERROR(__xludf.DUMMYFUNCTION("""COMPUTED_VALUE"""),"DBP02000909")</f>
        <v>DBP02000909</v>
      </c>
      <c r="B911" s="5" t="str">
        <f>IFERROR(__xludf.DUMMYFUNCTION("""COMPUTED_VALUE"""),"freyaemilytt20@gmail.com")</f>
        <v>freyaemilytt20@gmail.com</v>
      </c>
      <c r="C911" s="3">
        <v>222222.0</v>
      </c>
      <c r="D911" s="3" t="s">
        <v>8</v>
      </c>
      <c r="E911" s="3" t="s">
        <v>9</v>
      </c>
      <c r="F911" s="3" t="s">
        <v>10</v>
      </c>
    </row>
    <row r="912">
      <c r="A912" s="5" t="str">
        <f>IFERROR(__xludf.DUMMYFUNCTION("""COMPUTED_VALUE"""),"DBP02000910")</f>
        <v>DBP02000910</v>
      </c>
      <c r="B912" s="5" t="str">
        <f>IFERROR(__xludf.DUMMYFUNCTION("""COMPUTED_VALUE"""),"rfarhanrizky21@gmail.com")</f>
        <v>rfarhanrizky21@gmail.com</v>
      </c>
      <c r="C912" s="3">
        <v>222222.0</v>
      </c>
      <c r="D912" s="3" t="s">
        <v>8</v>
      </c>
      <c r="E912" s="3" t="s">
        <v>9</v>
      </c>
      <c r="F912" s="3" t="s">
        <v>10</v>
      </c>
    </row>
    <row r="913">
      <c r="A913" s="5" t="str">
        <f>IFERROR(__xludf.DUMMYFUNCTION("""COMPUTED_VALUE"""),"DBP02000911")</f>
        <v>DBP02000911</v>
      </c>
      <c r="B913" s="5" t="str">
        <f>IFERROR(__xludf.DUMMYFUNCTION("""COMPUTED_VALUE"""),"nittanit13@gmail.com")</f>
        <v>nittanit13@gmail.com</v>
      </c>
      <c r="C913" s="3">
        <v>222222.0</v>
      </c>
      <c r="D913" s="3" t="s">
        <v>8</v>
      </c>
      <c r="E913" s="3" t="s">
        <v>9</v>
      </c>
      <c r="F913" s="3" t="s">
        <v>10</v>
      </c>
    </row>
    <row r="914">
      <c r="A914" s="5" t="str">
        <f>IFERROR(__xludf.DUMMYFUNCTION("""COMPUTED_VALUE"""),"DBP02000912")</f>
        <v>DBP02000912</v>
      </c>
      <c r="B914" s="5" t="str">
        <f>IFERROR(__xludf.DUMMYFUNCTION("""COMPUTED_VALUE"""),"adekwee@gmail.com")</f>
        <v>adekwee@gmail.com</v>
      </c>
      <c r="C914" s="3">
        <v>222222.0</v>
      </c>
      <c r="D914" s="3" t="s">
        <v>8</v>
      </c>
      <c r="E914" s="3" t="s">
        <v>9</v>
      </c>
      <c r="F914" s="3" t="s">
        <v>10</v>
      </c>
    </row>
    <row r="915">
      <c r="A915" s="5" t="str">
        <f>IFERROR(__xludf.DUMMYFUNCTION("""COMPUTED_VALUE"""),"DBP02000913")</f>
        <v>DBP02000913</v>
      </c>
      <c r="B915" s="5" t="str">
        <f>IFERROR(__xludf.DUMMYFUNCTION("""COMPUTED_VALUE"""),"rheynaa113@gmail.com")</f>
        <v>rheynaa113@gmail.com</v>
      </c>
      <c r="C915" s="3">
        <v>222222.0</v>
      </c>
      <c r="D915" s="3" t="s">
        <v>8</v>
      </c>
      <c r="E915" s="3" t="s">
        <v>9</v>
      </c>
      <c r="F915" s="3" t="s">
        <v>10</v>
      </c>
    </row>
    <row r="916">
      <c r="A916" s="5" t="str">
        <f>IFERROR(__xludf.DUMMYFUNCTION("""COMPUTED_VALUE"""),"DBP02000914")</f>
        <v>DBP02000914</v>
      </c>
      <c r="B916" s="5" t="str">
        <f>IFERROR(__xludf.DUMMYFUNCTION("""COMPUTED_VALUE"""),"rickychristian413@gmail.com")</f>
        <v>rickychristian413@gmail.com</v>
      </c>
      <c r="C916" s="3">
        <v>222222.0</v>
      </c>
      <c r="D916" s="3" t="s">
        <v>8</v>
      </c>
      <c r="E916" s="3" t="s">
        <v>9</v>
      </c>
      <c r="F916" s="3" t="s">
        <v>10</v>
      </c>
    </row>
    <row r="917">
      <c r="A917" s="5" t="str">
        <f>IFERROR(__xludf.DUMMYFUNCTION("""COMPUTED_VALUE"""),"DBP02000915")</f>
        <v>DBP02000915</v>
      </c>
      <c r="B917" s="5"/>
      <c r="C917" s="3">
        <v>222222.0</v>
      </c>
      <c r="D917" s="3" t="s">
        <v>8</v>
      </c>
      <c r="E917" s="3" t="s">
        <v>9</v>
      </c>
      <c r="F917" s="3" t="s">
        <v>10</v>
      </c>
    </row>
    <row r="918">
      <c r="A918" s="5" t="str">
        <f>IFERROR(__xludf.DUMMYFUNCTION("""COMPUTED_VALUE"""),"DBP02000916")</f>
        <v>DBP02000916</v>
      </c>
      <c r="B918" s="5" t="str">
        <f>IFERROR(__xludf.DUMMYFUNCTION("""COMPUTED_VALUE"""),"dwight.rivanesa@gmail.com")</f>
        <v>dwight.rivanesa@gmail.com</v>
      </c>
      <c r="C918" s="3">
        <v>222222.0</v>
      </c>
      <c r="D918" s="3" t="s">
        <v>8</v>
      </c>
      <c r="E918" s="3" t="s">
        <v>9</v>
      </c>
      <c r="F918" s="3" t="s">
        <v>10</v>
      </c>
    </row>
    <row r="919">
      <c r="A919" s="5" t="str">
        <f>IFERROR(__xludf.DUMMYFUNCTION("""COMPUTED_VALUE"""),"DBP02000917")</f>
        <v>DBP02000917</v>
      </c>
      <c r="B919" s="5" t="str">
        <f>IFERROR(__xludf.DUMMYFUNCTION("""COMPUTED_VALUE"""),"sekarlangittt@gmail.com")</f>
        <v>sekarlangittt@gmail.com</v>
      </c>
      <c r="C919" s="3">
        <v>222222.0</v>
      </c>
      <c r="D919" s="3" t="s">
        <v>8</v>
      </c>
      <c r="E919" s="3" t="s">
        <v>9</v>
      </c>
      <c r="F919" s="3" t="s">
        <v>10</v>
      </c>
    </row>
    <row r="920">
      <c r="A920" s="5" t="str">
        <f>IFERROR(__xludf.DUMMYFUNCTION("""COMPUTED_VALUE"""),"DBP02000918")</f>
        <v>DBP02000918</v>
      </c>
      <c r="B920" s="5" t="str">
        <f>IFERROR(__xludf.DUMMYFUNCTION("""COMPUTED_VALUE"""),"galihakbarisra@gmail.com")</f>
        <v>galihakbarisra@gmail.com</v>
      </c>
      <c r="C920" s="3">
        <v>222222.0</v>
      </c>
      <c r="D920" s="3" t="s">
        <v>8</v>
      </c>
      <c r="E920" s="3" t="s">
        <v>9</v>
      </c>
      <c r="F920" s="3" t="s">
        <v>10</v>
      </c>
    </row>
    <row r="921">
      <c r="A921" s="5"/>
      <c r="B921" s="5"/>
      <c r="E921" s="3" t="s">
        <v>9</v>
      </c>
      <c r="F921" s="3" t="s">
        <v>10</v>
      </c>
    </row>
    <row r="922">
      <c r="A922" s="5"/>
      <c r="B922" s="5"/>
      <c r="E922" s="3" t="s">
        <v>9</v>
      </c>
      <c r="F922" s="3" t="s">
        <v>10</v>
      </c>
    </row>
    <row r="923">
      <c r="A923" s="5"/>
      <c r="B923" s="5"/>
      <c r="E923" s="3" t="s">
        <v>9</v>
      </c>
      <c r="F923" s="3" t="s">
        <v>10</v>
      </c>
    </row>
    <row r="924">
      <c r="A924" s="5"/>
      <c r="B924" s="5"/>
      <c r="E924" s="3" t="s">
        <v>9</v>
      </c>
      <c r="F924" s="3" t="s">
        <v>10</v>
      </c>
    </row>
    <row r="925">
      <c r="A925" s="5"/>
      <c r="B925" s="5"/>
      <c r="E925" s="3" t="s">
        <v>9</v>
      </c>
      <c r="F925" s="3" t="s">
        <v>10</v>
      </c>
    </row>
    <row r="926">
      <c r="A926" s="5"/>
      <c r="B926" s="5"/>
      <c r="E926" s="3" t="s">
        <v>9</v>
      </c>
      <c r="F926" s="3" t="s">
        <v>10</v>
      </c>
    </row>
    <row r="927">
      <c r="A927" s="5"/>
      <c r="B927" s="5"/>
      <c r="E927" s="3" t="s">
        <v>9</v>
      </c>
      <c r="F927" s="3" t="s">
        <v>10</v>
      </c>
    </row>
    <row r="928">
      <c r="A928" s="5"/>
      <c r="B928" s="5"/>
      <c r="E928" s="3" t="s">
        <v>9</v>
      </c>
      <c r="F928" s="3" t="s">
        <v>10</v>
      </c>
    </row>
    <row r="929">
      <c r="A929" s="5"/>
      <c r="B929" s="5"/>
      <c r="E929" s="3" t="s">
        <v>9</v>
      </c>
      <c r="F929" s="3" t="s">
        <v>10</v>
      </c>
    </row>
    <row r="930">
      <c r="A930" s="5"/>
      <c r="B930" s="5"/>
      <c r="E930" s="3" t="s">
        <v>9</v>
      </c>
      <c r="F930" s="3" t="s">
        <v>10</v>
      </c>
    </row>
    <row r="931">
      <c r="A931" s="5"/>
      <c r="B931" s="5"/>
      <c r="E931" s="3" t="s">
        <v>9</v>
      </c>
      <c r="F931" s="3" t="s">
        <v>10</v>
      </c>
    </row>
    <row r="932">
      <c r="A932" s="5"/>
      <c r="B932" s="5"/>
      <c r="E932" s="3" t="s">
        <v>9</v>
      </c>
      <c r="F932" s="3" t="s">
        <v>10</v>
      </c>
    </row>
    <row r="933">
      <c r="A933" s="5"/>
      <c r="B933" s="5"/>
      <c r="E933" s="3" t="s">
        <v>9</v>
      </c>
      <c r="F933" s="3" t="s">
        <v>10</v>
      </c>
    </row>
    <row r="934">
      <c r="A934" s="5"/>
      <c r="B934" s="5"/>
      <c r="E934" s="3" t="s">
        <v>9</v>
      </c>
      <c r="F934" s="3" t="s">
        <v>10</v>
      </c>
    </row>
    <row r="935">
      <c r="A935" s="5"/>
      <c r="B935" s="5"/>
      <c r="E935" s="3" t="s">
        <v>9</v>
      </c>
      <c r="F935" s="3" t="s">
        <v>10</v>
      </c>
    </row>
    <row r="936">
      <c r="A936" s="5"/>
      <c r="B936" s="5"/>
      <c r="E936" s="3" t="s">
        <v>9</v>
      </c>
      <c r="F936" s="3" t="s">
        <v>10</v>
      </c>
    </row>
    <row r="937">
      <c r="A937" s="5"/>
      <c r="B937" s="5"/>
      <c r="E937" s="3" t="s">
        <v>9</v>
      </c>
      <c r="F937" s="3" t="s">
        <v>10</v>
      </c>
    </row>
    <row r="938">
      <c r="A938" s="5"/>
      <c r="B938" s="5"/>
      <c r="E938" s="3" t="s">
        <v>9</v>
      </c>
      <c r="F938" s="3" t="s">
        <v>10</v>
      </c>
    </row>
    <row r="939">
      <c r="A939" s="5"/>
      <c r="B939" s="5"/>
      <c r="E939" s="3" t="s">
        <v>9</v>
      </c>
      <c r="F939" s="3" t="s">
        <v>10</v>
      </c>
    </row>
    <row r="940">
      <c r="A940" s="5"/>
      <c r="B940" s="5"/>
      <c r="E940" s="3" t="s">
        <v>9</v>
      </c>
      <c r="F940" s="3" t="s">
        <v>10</v>
      </c>
    </row>
    <row r="941">
      <c r="A941" s="5"/>
      <c r="B941" s="5"/>
      <c r="E941" s="3" t="s">
        <v>9</v>
      </c>
      <c r="F941" s="3" t="s">
        <v>10</v>
      </c>
    </row>
    <row r="942">
      <c r="A942" s="5"/>
      <c r="B942" s="5"/>
      <c r="E942" s="3" t="s">
        <v>9</v>
      </c>
      <c r="F942" s="3" t="s">
        <v>10</v>
      </c>
    </row>
    <row r="943">
      <c r="A943" s="5"/>
      <c r="B943" s="5"/>
      <c r="E943" s="3" t="s">
        <v>9</v>
      </c>
      <c r="F943" s="3" t="s">
        <v>10</v>
      </c>
    </row>
    <row r="944">
      <c r="A944" s="5"/>
      <c r="B944" s="5"/>
      <c r="E944" s="3" t="s">
        <v>9</v>
      </c>
      <c r="F944" s="3" t="s">
        <v>10</v>
      </c>
    </row>
    <row r="945">
      <c r="A945" s="5"/>
      <c r="B945" s="5"/>
      <c r="E945" s="3" t="s">
        <v>9</v>
      </c>
      <c r="F945" s="3" t="s">
        <v>10</v>
      </c>
    </row>
    <row r="946">
      <c r="A946" s="5"/>
      <c r="B946" s="5"/>
      <c r="E946" s="3" t="s">
        <v>9</v>
      </c>
      <c r="F946" s="3" t="s">
        <v>10</v>
      </c>
    </row>
    <row r="947">
      <c r="A947" s="5"/>
      <c r="B947" s="5"/>
      <c r="E947" s="3" t="s">
        <v>9</v>
      </c>
      <c r="F947" s="3" t="s">
        <v>10</v>
      </c>
    </row>
    <row r="948">
      <c r="A948" s="5"/>
      <c r="B948" s="5"/>
      <c r="E948" s="3" t="s">
        <v>9</v>
      </c>
      <c r="F948" s="3" t="s">
        <v>10</v>
      </c>
    </row>
    <row r="949">
      <c r="A949" s="5"/>
      <c r="B949" s="5"/>
      <c r="E949" s="3" t="s">
        <v>9</v>
      </c>
      <c r="F949" s="3" t="s">
        <v>10</v>
      </c>
    </row>
    <row r="950">
      <c r="A950" s="5"/>
      <c r="B950" s="5"/>
      <c r="E950" s="3" t="s">
        <v>9</v>
      </c>
      <c r="F950" s="3" t="s">
        <v>10</v>
      </c>
    </row>
    <row r="951">
      <c r="A951" s="5"/>
      <c r="B951" s="5"/>
      <c r="E951" s="3" t="s">
        <v>9</v>
      </c>
      <c r="F951" s="3" t="s">
        <v>10</v>
      </c>
    </row>
    <row r="952">
      <c r="A952" s="5"/>
      <c r="B952" s="5"/>
      <c r="E952" s="3" t="s">
        <v>9</v>
      </c>
      <c r="F952" s="3" t="s">
        <v>10</v>
      </c>
    </row>
    <row r="953">
      <c r="A953" s="5"/>
      <c r="B953" s="5"/>
      <c r="E953" s="3" t="s">
        <v>9</v>
      </c>
      <c r="F953" s="3" t="s">
        <v>10</v>
      </c>
    </row>
    <row r="954">
      <c r="A954" s="5"/>
      <c r="B954" s="5"/>
      <c r="E954" s="3" t="s">
        <v>9</v>
      </c>
      <c r="F954" s="3" t="s">
        <v>10</v>
      </c>
    </row>
    <row r="955">
      <c r="A955" s="5"/>
      <c r="B955" s="5"/>
      <c r="E955" s="3" t="s">
        <v>9</v>
      </c>
      <c r="F955" s="3" t="s">
        <v>10</v>
      </c>
    </row>
    <row r="956">
      <c r="A956" s="5"/>
      <c r="B956" s="5"/>
      <c r="E956" s="3" t="s">
        <v>9</v>
      </c>
      <c r="F956" s="3" t="s">
        <v>10</v>
      </c>
    </row>
    <row r="957">
      <c r="A957" s="5"/>
      <c r="B957" s="5"/>
      <c r="E957" s="3" t="s">
        <v>9</v>
      </c>
      <c r="F957" s="3" t="s">
        <v>10</v>
      </c>
    </row>
    <row r="958">
      <c r="A958" s="5"/>
      <c r="B958" s="5"/>
      <c r="E958" s="3" t="s">
        <v>9</v>
      </c>
      <c r="F958" s="3" t="s">
        <v>10</v>
      </c>
    </row>
    <row r="959">
      <c r="A959" s="5"/>
      <c r="B959" s="5"/>
      <c r="E959" s="3" t="s">
        <v>9</v>
      </c>
      <c r="F959" s="3" t="s">
        <v>10</v>
      </c>
    </row>
    <row r="960">
      <c r="A960" s="5"/>
      <c r="B960" s="5"/>
      <c r="E960" s="3" t="s">
        <v>9</v>
      </c>
      <c r="F960" s="3" t="s">
        <v>10</v>
      </c>
    </row>
    <row r="961">
      <c r="A961" s="5"/>
      <c r="B961" s="5"/>
      <c r="E961" s="3" t="s">
        <v>9</v>
      </c>
      <c r="F961" s="3" t="s">
        <v>10</v>
      </c>
    </row>
    <row r="962">
      <c r="A962" s="5"/>
      <c r="B962" s="5"/>
      <c r="E962" s="3" t="s">
        <v>9</v>
      </c>
      <c r="F962" s="3" t="s">
        <v>10</v>
      </c>
    </row>
    <row r="963">
      <c r="A963" s="5"/>
      <c r="B963" s="5"/>
      <c r="E963" s="3" t="s">
        <v>9</v>
      </c>
      <c r="F963" s="3" t="s">
        <v>10</v>
      </c>
    </row>
    <row r="964">
      <c r="A964" s="5"/>
      <c r="B964" s="5"/>
      <c r="E964" s="3" t="s">
        <v>9</v>
      </c>
      <c r="F964" s="3" t="s">
        <v>10</v>
      </c>
    </row>
    <row r="965">
      <c r="A965" s="5"/>
      <c r="B965" s="5"/>
      <c r="E965" s="3" t="s">
        <v>9</v>
      </c>
      <c r="F965" s="3" t="s">
        <v>10</v>
      </c>
    </row>
    <row r="966">
      <c r="A966" s="5"/>
      <c r="B966" s="5"/>
      <c r="E966" s="3" t="s">
        <v>9</v>
      </c>
      <c r="F966" s="3" t="s">
        <v>10</v>
      </c>
    </row>
    <row r="967">
      <c r="A967" s="5"/>
      <c r="B967" s="5"/>
      <c r="E967" s="3" t="s">
        <v>9</v>
      </c>
      <c r="F967" s="3" t="s">
        <v>10</v>
      </c>
    </row>
    <row r="968">
      <c r="A968" s="5"/>
      <c r="B968" s="5"/>
      <c r="E968" s="3" t="s">
        <v>9</v>
      </c>
      <c r="F968" s="3" t="s">
        <v>10</v>
      </c>
    </row>
    <row r="969">
      <c r="A969" s="5"/>
      <c r="B969" s="5"/>
      <c r="E969" s="3" t="s">
        <v>9</v>
      </c>
      <c r="F969" s="3" t="s">
        <v>10</v>
      </c>
    </row>
    <row r="970">
      <c r="A970" s="5"/>
      <c r="B970" s="5"/>
      <c r="E970" s="3" t="s">
        <v>9</v>
      </c>
      <c r="F970" s="3" t="s">
        <v>10</v>
      </c>
    </row>
    <row r="971">
      <c r="A971" s="5"/>
      <c r="B971" s="5"/>
      <c r="E971" s="3" t="s">
        <v>9</v>
      </c>
      <c r="F971" s="3" t="s">
        <v>10</v>
      </c>
    </row>
    <row r="972">
      <c r="A972" s="5"/>
      <c r="B972" s="5"/>
      <c r="E972" s="3" t="s">
        <v>9</v>
      </c>
      <c r="F972" s="3" t="s">
        <v>10</v>
      </c>
    </row>
    <row r="973">
      <c r="A973" s="5"/>
      <c r="B973" s="5"/>
      <c r="E973" s="3" t="s">
        <v>9</v>
      </c>
      <c r="F973" s="3" t="s">
        <v>10</v>
      </c>
    </row>
    <row r="974">
      <c r="A974" s="5"/>
      <c r="B974" s="5"/>
      <c r="E974" s="3" t="s">
        <v>9</v>
      </c>
      <c r="F974" s="3" t="s">
        <v>10</v>
      </c>
    </row>
    <row r="975">
      <c r="A975" s="5"/>
      <c r="B975" s="5"/>
      <c r="E975" s="3" t="s">
        <v>9</v>
      </c>
      <c r="F975" s="3" t="s">
        <v>10</v>
      </c>
    </row>
    <row r="976">
      <c r="A976" s="5"/>
      <c r="B976" s="5"/>
      <c r="E976" s="3" t="s">
        <v>9</v>
      </c>
      <c r="F976" s="3" t="s">
        <v>10</v>
      </c>
    </row>
    <row r="977">
      <c r="A977" s="5"/>
      <c r="B977" s="5"/>
      <c r="E977" s="3" t="s">
        <v>9</v>
      </c>
      <c r="F977" s="3" t="s">
        <v>10</v>
      </c>
    </row>
    <row r="978">
      <c r="A978" s="5"/>
      <c r="B978" s="5"/>
      <c r="E978" s="3" t="s">
        <v>9</v>
      </c>
      <c r="F978" s="3" t="s">
        <v>10</v>
      </c>
    </row>
    <row r="979">
      <c r="A979" s="5"/>
      <c r="B979" s="5"/>
      <c r="E979" s="3" t="s">
        <v>9</v>
      </c>
      <c r="F979" s="3" t="s">
        <v>10</v>
      </c>
    </row>
    <row r="980">
      <c r="A980" s="5"/>
      <c r="B980" s="5"/>
      <c r="E980" s="3" t="s">
        <v>9</v>
      </c>
      <c r="F980" s="3" t="s">
        <v>10</v>
      </c>
    </row>
    <row r="981">
      <c r="A981" s="5"/>
      <c r="B981" s="5"/>
      <c r="E981" s="3" t="s">
        <v>9</v>
      </c>
      <c r="F981" s="3" t="s">
        <v>10</v>
      </c>
    </row>
    <row r="982">
      <c r="A982" s="5"/>
      <c r="B982" s="5"/>
      <c r="E982" s="3" t="s">
        <v>9</v>
      </c>
      <c r="F982" s="3" t="s">
        <v>10</v>
      </c>
    </row>
    <row r="983">
      <c r="A983" s="5"/>
      <c r="B983" s="5"/>
      <c r="E983" s="3" t="s">
        <v>9</v>
      </c>
      <c r="F983" s="3" t="s">
        <v>10</v>
      </c>
    </row>
    <row r="984">
      <c r="A984" s="5"/>
      <c r="B984" s="5"/>
      <c r="E984" s="3" t="s">
        <v>9</v>
      </c>
      <c r="F984" s="3" t="s">
        <v>10</v>
      </c>
    </row>
    <row r="985">
      <c r="A985" s="5"/>
      <c r="B985" s="5"/>
      <c r="E985" s="3" t="s">
        <v>9</v>
      </c>
      <c r="F985" s="3" t="s">
        <v>10</v>
      </c>
    </row>
    <row r="986">
      <c r="A986" s="5"/>
      <c r="B986" s="5"/>
      <c r="E986" s="3" t="s">
        <v>9</v>
      </c>
      <c r="F986" s="3" t="s">
        <v>10</v>
      </c>
    </row>
    <row r="987">
      <c r="A987" s="5"/>
      <c r="B987" s="5"/>
      <c r="E987" s="3" t="s">
        <v>9</v>
      </c>
      <c r="F987" s="3" t="s">
        <v>10</v>
      </c>
    </row>
    <row r="988">
      <c r="A988" s="5"/>
      <c r="B988" s="5"/>
      <c r="E988" s="3" t="s">
        <v>9</v>
      </c>
      <c r="F988" s="3" t="s">
        <v>10</v>
      </c>
    </row>
    <row r="989">
      <c r="A989" s="5"/>
      <c r="B989" s="5"/>
      <c r="E989" s="3" t="s">
        <v>9</v>
      </c>
      <c r="F989" s="3" t="s">
        <v>10</v>
      </c>
    </row>
    <row r="990">
      <c r="A990" s="5"/>
      <c r="B990" s="5"/>
      <c r="E990" s="3" t="s">
        <v>9</v>
      </c>
      <c r="F990" s="3" t="s">
        <v>10</v>
      </c>
    </row>
    <row r="991">
      <c r="A991" s="5"/>
      <c r="B991" s="5"/>
      <c r="E991" s="3" t="s">
        <v>9</v>
      </c>
      <c r="F991" s="3" t="s">
        <v>10</v>
      </c>
    </row>
    <row r="992">
      <c r="A992" s="5"/>
      <c r="B992" s="5"/>
      <c r="E992" s="3" t="s">
        <v>9</v>
      </c>
      <c r="F992" s="3" t="s">
        <v>10</v>
      </c>
    </row>
    <row r="993">
      <c r="A993" s="5"/>
      <c r="B993" s="5"/>
      <c r="E993" s="3" t="s">
        <v>9</v>
      </c>
      <c r="F993" s="3" t="s">
        <v>10</v>
      </c>
    </row>
    <row r="994">
      <c r="A994" s="5"/>
      <c r="B994" s="5"/>
      <c r="E994" s="3" t="s">
        <v>9</v>
      </c>
      <c r="F994" s="3" t="s">
        <v>10</v>
      </c>
    </row>
    <row r="995">
      <c r="A995" s="5"/>
      <c r="B995" s="5"/>
      <c r="E995" s="3" t="s">
        <v>9</v>
      </c>
      <c r="F995" s="3" t="s">
        <v>10</v>
      </c>
    </row>
    <row r="996">
      <c r="A996" s="5"/>
      <c r="B996" s="5"/>
      <c r="E996" s="3" t="s">
        <v>9</v>
      </c>
      <c r="F996" s="3" t="s">
        <v>10</v>
      </c>
    </row>
    <row r="997">
      <c r="A997" s="5"/>
      <c r="B997" s="5"/>
      <c r="E997" s="3" t="s">
        <v>9</v>
      </c>
      <c r="F997" s="3" t="s">
        <v>10</v>
      </c>
    </row>
    <row r="998">
      <c r="A998" s="5"/>
      <c r="B998" s="5"/>
      <c r="E998" s="3" t="s">
        <v>9</v>
      </c>
      <c r="F998" s="3" t="s">
        <v>10</v>
      </c>
    </row>
    <row r="999">
      <c r="A999" s="5"/>
      <c r="B999" s="5"/>
      <c r="E999" s="3" t="s">
        <v>9</v>
      </c>
      <c r="F999" s="3" t="s">
        <v>10</v>
      </c>
    </row>
    <row r="1000">
      <c r="A1000" s="5"/>
      <c r="B1000" s="5"/>
      <c r="E1000" s="3" t="s">
        <v>9</v>
      </c>
      <c r="F1000" s="3" t="s">
        <v>10</v>
      </c>
    </row>
    <row r="1001">
      <c r="A1001" s="5"/>
      <c r="B1001" s="5"/>
      <c r="E1001" s="3" t="s">
        <v>9</v>
      </c>
      <c r="F1001" s="3" t="s">
        <v>10</v>
      </c>
    </row>
    <row r="1002">
      <c r="A1002" s="5"/>
      <c r="B1002" s="5"/>
      <c r="E1002" s="3" t="s">
        <v>9</v>
      </c>
      <c r="F1002" s="3" t="s">
        <v>10</v>
      </c>
    </row>
    <row r="1003">
      <c r="A1003" s="5"/>
      <c r="B1003" s="5"/>
      <c r="E1003" s="3" t="s">
        <v>9</v>
      </c>
      <c r="F1003" s="3" t="s">
        <v>10</v>
      </c>
    </row>
    <row r="1004">
      <c r="A1004" s="5"/>
      <c r="B1004" s="5"/>
      <c r="E1004" s="3" t="s">
        <v>9</v>
      </c>
      <c r="F1004" s="3" t="s">
        <v>10</v>
      </c>
    </row>
    <row r="1005">
      <c r="E1005" s="3" t="s">
        <v>9</v>
      </c>
      <c r="F1005" s="3" t="s">
        <v>10</v>
      </c>
    </row>
    <row r="1006">
      <c r="E1006" s="3" t="s">
        <v>9</v>
      </c>
      <c r="F1006" s="3" t="s">
        <v>10</v>
      </c>
    </row>
    <row r="1007">
      <c r="E1007" s="3" t="s">
        <v>9</v>
      </c>
      <c r="F1007" s="3" t="s">
        <v>10</v>
      </c>
    </row>
    <row r="1008">
      <c r="E1008" s="3" t="s">
        <v>9</v>
      </c>
      <c r="F1008" s="3" t="s">
        <v>10</v>
      </c>
    </row>
    <row r="1009">
      <c r="E1009" s="3" t="s">
        <v>9</v>
      </c>
      <c r="F1009" s="3" t="s">
        <v>10</v>
      </c>
    </row>
    <row r="1010">
      <c r="E1010" s="3" t="s">
        <v>9</v>
      </c>
      <c r="F1010" s="3" t="s">
        <v>10</v>
      </c>
    </row>
    <row r="1011">
      <c r="E1011" s="3" t="s">
        <v>9</v>
      </c>
      <c r="F1011" s="3" t="s">
        <v>10</v>
      </c>
    </row>
    <row r="1012">
      <c r="E1012" s="3" t="s">
        <v>9</v>
      </c>
      <c r="F1012" s="3" t="s">
        <v>10</v>
      </c>
    </row>
    <row r="1013">
      <c r="E1013" s="3" t="s">
        <v>9</v>
      </c>
      <c r="F1013" s="3" t="s">
        <v>10</v>
      </c>
    </row>
    <row r="1014">
      <c r="E1014" s="3" t="s">
        <v>9</v>
      </c>
      <c r="F1014" s="3" t="s">
        <v>10</v>
      </c>
    </row>
    <row r="1015">
      <c r="E1015" s="3" t="s">
        <v>9</v>
      </c>
      <c r="F1015" s="3" t="s">
        <v>10</v>
      </c>
    </row>
    <row r="1016">
      <c r="E1016" s="3" t="s">
        <v>9</v>
      </c>
      <c r="F1016" s="3" t="s">
        <v>10</v>
      </c>
    </row>
    <row r="1017">
      <c r="E1017" s="3" t="s">
        <v>9</v>
      </c>
      <c r="F1017" s="3" t="s">
        <v>10</v>
      </c>
    </row>
    <row r="1018">
      <c r="E1018" s="3" t="s">
        <v>9</v>
      </c>
      <c r="F1018" s="3" t="s">
        <v>10</v>
      </c>
    </row>
    <row r="1019">
      <c r="E1019" s="3" t="s">
        <v>9</v>
      </c>
      <c r="F1019" s="3" t="s">
        <v>10</v>
      </c>
    </row>
    <row r="1020">
      <c r="E1020" s="3" t="s">
        <v>9</v>
      </c>
      <c r="F1020" s="3" t="s">
        <v>10</v>
      </c>
    </row>
    <row r="1021">
      <c r="E1021" s="3" t="s">
        <v>9</v>
      </c>
      <c r="F1021" s="3" t="s">
        <v>10</v>
      </c>
    </row>
    <row r="1022">
      <c r="E1022" s="3" t="s">
        <v>9</v>
      </c>
      <c r="F1022" s="3" t="s">
        <v>10</v>
      </c>
    </row>
    <row r="1023">
      <c r="E1023" s="3" t="s">
        <v>9</v>
      </c>
      <c r="F1023" s="3" t="s">
        <v>10</v>
      </c>
    </row>
    <row r="1024">
      <c r="E1024" s="3" t="s">
        <v>9</v>
      </c>
      <c r="F1024" s="3" t="s">
        <v>10</v>
      </c>
    </row>
    <row r="1025">
      <c r="E1025" s="3" t="s">
        <v>9</v>
      </c>
      <c r="F1025" s="3" t="s">
        <v>10</v>
      </c>
    </row>
    <row r="1026">
      <c r="E1026" s="3" t="s">
        <v>9</v>
      </c>
      <c r="F1026" s="3" t="s">
        <v>10</v>
      </c>
    </row>
    <row r="1027">
      <c r="E1027" s="3" t="s">
        <v>9</v>
      </c>
      <c r="F1027" s="3" t="s">
        <v>10</v>
      </c>
    </row>
    <row r="1028">
      <c r="E1028" s="3" t="s">
        <v>9</v>
      </c>
      <c r="F1028" s="3" t="s">
        <v>10</v>
      </c>
    </row>
    <row r="1029">
      <c r="E1029" s="3" t="s">
        <v>9</v>
      </c>
      <c r="F1029" s="3" t="s">
        <v>10</v>
      </c>
    </row>
    <row r="1030">
      <c r="E1030" s="3" t="s">
        <v>9</v>
      </c>
      <c r="F1030" s="3" t="s">
        <v>10</v>
      </c>
    </row>
    <row r="1031">
      <c r="E1031" s="3" t="s">
        <v>9</v>
      </c>
      <c r="F1031" s="3" t="s">
        <v>10</v>
      </c>
    </row>
    <row r="1032">
      <c r="E1032" s="3" t="s">
        <v>9</v>
      </c>
      <c r="F1032" s="3" t="s">
        <v>10</v>
      </c>
    </row>
    <row r="1033">
      <c r="E1033" s="3" t="s">
        <v>9</v>
      </c>
      <c r="F1033" s="3" t="s">
        <v>10</v>
      </c>
    </row>
    <row r="1034">
      <c r="E1034" s="3" t="s">
        <v>9</v>
      </c>
      <c r="F1034" s="3" t="s">
        <v>10</v>
      </c>
    </row>
    <row r="1035">
      <c r="E1035" s="3" t="s">
        <v>9</v>
      </c>
      <c r="F1035" s="3" t="s">
        <v>10</v>
      </c>
    </row>
    <row r="1036">
      <c r="E1036" s="3" t="s">
        <v>9</v>
      </c>
      <c r="F1036" s="3" t="s">
        <v>10</v>
      </c>
    </row>
    <row r="1037">
      <c r="E1037" s="3" t="s">
        <v>9</v>
      </c>
      <c r="F1037" s="3" t="s">
        <v>10</v>
      </c>
    </row>
    <row r="1038">
      <c r="E1038" s="3" t="s">
        <v>9</v>
      </c>
      <c r="F1038" s="3" t="s">
        <v>10</v>
      </c>
    </row>
    <row r="1039">
      <c r="E1039" s="3" t="s">
        <v>9</v>
      </c>
      <c r="F1039" s="3" t="s">
        <v>10</v>
      </c>
    </row>
    <row r="1040">
      <c r="E1040" s="3" t="s">
        <v>9</v>
      </c>
      <c r="F1040" s="3" t="s">
        <v>10</v>
      </c>
    </row>
    <row r="1041">
      <c r="E1041" s="3" t="s">
        <v>9</v>
      </c>
      <c r="F1041" s="3" t="s">
        <v>10</v>
      </c>
    </row>
    <row r="1042">
      <c r="E1042" s="3" t="s">
        <v>9</v>
      </c>
      <c r="F1042" s="3" t="s">
        <v>10</v>
      </c>
    </row>
    <row r="1043">
      <c r="E1043" s="3" t="s">
        <v>9</v>
      </c>
      <c r="F1043" s="3" t="s">
        <v>10</v>
      </c>
    </row>
    <row r="1044">
      <c r="E1044" s="3" t="s">
        <v>9</v>
      </c>
      <c r="F1044" s="3" t="s">
        <v>10</v>
      </c>
    </row>
    <row r="1045">
      <c r="E1045" s="3" t="s">
        <v>9</v>
      </c>
      <c r="F1045" s="3" t="s">
        <v>10</v>
      </c>
    </row>
    <row r="1046">
      <c r="E1046" s="3" t="s">
        <v>9</v>
      </c>
      <c r="F1046" s="3" t="s">
        <v>10</v>
      </c>
    </row>
    <row r="1047">
      <c r="E1047" s="3" t="s">
        <v>9</v>
      </c>
      <c r="F1047" s="3" t="s">
        <v>10</v>
      </c>
    </row>
    <row r="1048">
      <c r="E1048" s="3" t="s">
        <v>9</v>
      </c>
      <c r="F1048" s="3" t="s">
        <v>10</v>
      </c>
    </row>
    <row r="1049">
      <c r="E1049" s="3" t="s">
        <v>9</v>
      </c>
      <c r="F1049" s="3" t="s">
        <v>10</v>
      </c>
    </row>
    <row r="1050">
      <c r="E1050" s="3" t="s">
        <v>9</v>
      </c>
      <c r="F1050" s="3" t="s">
        <v>10</v>
      </c>
    </row>
    <row r="1051">
      <c r="E1051" s="3" t="s">
        <v>9</v>
      </c>
      <c r="F1051" s="3" t="s">
        <v>10</v>
      </c>
    </row>
    <row r="1052">
      <c r="E1052" s="3" t="s">
        <v>9</v>
      </c>
      <c r="F1052" s="3" t="s">
        <v>10</v>
      </c>
    </row>
    <row r="1053">
      <c r="E1053" s="3" t="s">
        <v>9</v>
      </c>
      <c r="F1053" s="3" t="s">
        <v>10</v>
      </c>
    </row>
    <row r="1054">
      <c r="E1054" s="3" t="s">
        <v>9</v>
      </c>
      <c r="F1054" s="3" t="s">
        <v>10</v>
      </c>
    </row>
    <row r="1055">
      <c r="E1055" s="3" t="s">
        <v>9</v>
      </c>
      <c r="F1055" s="3" t="s">
        <v>10</v>
      </c>
    </row>
    <row r="1056">
      <c r="E1056" s="3" t="s">
        <v>9</v>
      </c>
      <c r="F1056" s="3" t="s">
        <v>10</v>
      </c>
    </row>
    <row r="1057">
      <c r="E1057" s="3" t="s">
        <v>9</v>
      </c>
      <c r="F1057" s="3" t="s">
        <v>10</v>
      </c>
    </row>
    <row r="1058">
      <c r="E1058" s="3" t="s">
        <v>9</v>
      </c>
      <c r="F1058" s="3" t="s">
        <v>10</v>
      </c>
    </row>
    <row r="1059">
      <c r="E1059" s="3" t="s">
        <v>9</v>
      </c>
      <c r="F1059" s="3" t="s">
        <v>10</v>
      </c>
    </row>
    <row r="1060">
      <c r="E1060" s="3" t="s">
        <v>9</v>
      </c>
      <c r="F1060" s="3" t="s">
        <v>10</v>
      </c>
    </row>
    <row r="1061">
      <c r="E1061" s="3" t="s">
        <v>9</v>
      </c>
      <c r="F1061" s="3" t="s">
        <v>10</v>
      </c>
    </row>
    <row r="1062">
      <c r="E1062" s="3" t="s">
        <v>9</v>
      </c>
      <c r="F1062" s="3" t="s">
        <v>10</v>
      </c>
    </row>
    <row r="1063">
      <c r="E1063" s="3" t="s">
        <v>9</v>
      </c>
      <c r="F1063" s="3" t="s">
        <v>10</v>
      </c>
    </row>
    <row r="1064">
      <c r="E1064" s="3" t="s">
        <v>9</v>
      </c>
      <c r="F1064" s="3" t="s">
        <v>10</v>
      </c>
    </row>
    <row r="1065">
      <c r="E1065" s="3" t="s">
        <v>9</v>
      </c>
      <c r="F1065" s="3" t="s">
        <v>10</v>
      </c>
    </row>
    <row r="1066">
      <c r="E1066" s="3" t="s">
        <v>9</v>
      </c>
      <c r="F1066" s="3" t="s">
        <v>10</v>
      </c>
    </row>
    <row r="1067">
      <c r="E1067" s="3" t="s">
        <v>9</v>
      </c>
      <c r="F1067" s="3" t="s">
        <v>10</v>
      </c>
    </row>
    <row r="1068">
      <c r="E1068" s="3" t="s">
        <v>9</v>
      </c>
      <c r="F1068" s="3" t="s">
        <v>10</v>
      </c>
    </row>
    <row r="1069">
      <c r="E1069" s="3" t="s">
        <v>9</v>
      </c>
      <c r="F1069" s="3" t="s">
        <v>10</v>
      </c>
    </row>
    <row r="1070">
      <c r="E1070" s="3" t="s">
        <v>9</v>
      </c>
      <c r="F1070" s="3" t="s">
        <v>10</v>
      </c>
    </row>
    <row r="1071">
      <c r="E1071" s="3" t="s">
        <v>9</v>
      </c>
      <c r="F1071" s="3" t="s">
        <v>10</v>
      </c>
    </row>
    <row r="1072">
      <c r="E1072" s="3" t="s">
        <v>9</v>
      </c>
      <c r="F1072" s="3" t="s">
        <v>10</v>
      </c>
    </row>
    <row r="1073">
      <c r="E1073" s="3" t="s">
        <v>9</v>
      </c>
      <c r="F1073" s="3" t="s">
        <v>10</v>
      </c>
    </row>
    <row r="1074">
      <c r="E1074" s="3" t="s">
        <v>9</v>
      </c>
      <c r="F1074" s="3" t="s">
        <v>10</v>
      </c>
    </row>
    <row r="1075">
      <c r="E1075" s="3" t="s">
        <v>9</v>
      </c>
      <c r="F1075" s="3" t="s">
        <v>10</v>
      </c>
    </row>
    <row r="1076">
      <c r="E1076" s="3" t="s">
        <v>9</v>
      </c>
      <c r="F1076" s="3" t="s">
        <v>10</v>
      </c>
    </row>
    <row r="1077">
      <c r="E1077" s="3" t="s">
        <v>9</v>
      </c>
      <c r="F1077" s="3" t="s">
        <v>10</v>
      </c>
    </row>
    <row r="1078">
      <c r="E1078" s="3" t="s">
        <v>9</v>
      </c>
      <c r="F1078" s="3" t="s">
        <v>10</v>
      </c>
    </row>
    <row r="1079">
      <c r="E1079" s="3" t="s">
        <v>9</v>
      </c>
      <c r="F1079" s="3" t="s">
        <v>10</v>
      </c>
    </row>
    <row r="1080">
      <c r="E1080" s="3" t="s">
        <v>9</v>
      </c>
      <c r="F1080" s="3" t="s">
        <v>10</v>
      </c>
    </row>
    <row r="1081">
      <c r="E1081" s="3" t="s">
        <v>9</v>
      </c>
      <c r="F1081" s="3" t="s">
        <v>10</v>
      </c>
    </row>
    <row r="1082">
      <c r="E1082" s="3" t="s">
        <v>9</v>
      </c>
      <c r="F1082" s="3" t="s">
        <v>10</v>
      </c>
    </row>
    <row r="1083">
      <c r="E1083" s="3" t="s">
        <v>9</v>
      </c>
      <c r="F1083" s="3" t="s">
        <v>10</v>
      </c>
    </row>
    <row r="1084">
      <c r="E1084" s="3" t="s">
        <v>9</v>
      </c>
      <c r="F1084" s="3" t="s">
        <v>10</v>
      </c>
    </row>
    <row r="1085">
      <c r="E1085" s="3" t="s">
        <v>9</v>
      </c>
      <c r="F1085" s="3" t="s">
        <v>10</v>
      </c>
    </row>
    <row r="1086">
      <c r="E1086" s="3" t="s">
        <v>9</v>
      </c>
      <c r="F1086" s="3" t="s">
        <v>10</v>
      </c>
    </row>
    <row r="1087">
      <c r="E1087" s="3" t="s">
        <v>9</v>
      </c>
      <c r="F1087" s="3" t="s">
        <v>10</v>
      </c>
    </row>
    <row r="1088">
      <c r="E1088" s="3" t="s">
        <v>9</v>
      </c>
      <c r="F1088" s="3" t="s">
        <v>10</v>
      </c>
    </row>
    <row r="1089">
      <c r="E1089" s="3" t="s">
        <v>9</v>
      </c>
      <c r="F1089" s="3" t="s">
        <v>10</v>
      </c>
    </row>
    <row r="1090">
      <c r="E1090" s="3" t="s">
        <v>9</v>
      </c>
      <c r="F1090" s="3" t="s">
        <v>10</v>
      </c>
    </row>
    <row r="1091">
      <c r="E1091" s="3" t="s">
        <v>9</v>
      </c>
      <c r="F1091" s="3" t="s">
        <v>10</v>
      </c>
    </row>
    <row r="1092">
      <c r="E1092" s="3" t="s">
        <v>9</v>
      </c>
      <c r="F1092" s="3" t="s">
        <v>10</v>
      </c>
    </row>
    <row r="1093">
      <c r="E1093" s="3" t="s">
        <v>9</v>
      </c>
      <c r="F1093" s="3" t="s">
        <v>10</v>
      </c>
    </row>
    <row r="1094">
      <c r="E1094" s="3" t="s">
        <v>9</v>
      </c>
      <c r="F1094" s="3" t="s">
        <v>10</v>
      </c>
    </row>
    <row r="1095">
      <c r="E1095" s="3" t="s">
        <v>9</v>
      </c>
      <c r="F1095" s="3" t="s">
        <v>10</v>
      </c>
    </row>
    <row r="1096">
      <c r="E1096" s="3" t="s">
        <v>9</v>
      </c>
      <c r="F1096" s="3" t="s">
        <v>10</v>
      </c>
    </row>
    <row r="1097">
      <c r="E1097" s="3" t="s">
        <v>9</v>
      </c>
      <c r="F1097" s="3" t="s">
        <v>10</v>
      </c>
    </row>
    <row r="1098">
      <c r="E1098" s="3" t="s">
        <v>9</v>
      </c>
      <c r="F1098" s="3" t="s">
        <v>10</v>
      </c>
    </row>
    <row r="1099">
      <c r="E1099" s="3" t="s">
        <v>9</v>
      </c>
      <c r="F1099" s="3" t="s">
        <v>10</v>
      </c>
    </row>
    <row r="1100">
      <c r="E1100" s="3" t="s">
        <v>9</v>
      </c>
      <c r="F1100" s="3" t="s">
        <v>10</v>
      </c>
    </row>
    <row r="1101">
      <c r="E1101" s="3" t="s">
        <v>9</v>
      </c>
      <c r="F1101" s="3" t="s">
        <v>10</v>
      </c>
    </row>
    <row r="1102">
      <c r="E1102" s="3" t="s">
        <v>9</v>
      </c>
      <c r="F1102" s="3" t="s">
        <v>10</v>
      </c>
    </row>
    <row r="1103">
      <c r="E1103" s="3" t="s">
        <v>9</v>
      </c>
      <c r="F1103" s="3" t="s">
        <v>10</v>
      </c>
    </row>
    <row r="1104">
      <c r="E1104" s="3" t="s">
        <v>9</v>
      </c>
      <c r="F1104" s="3" t="s">
        <v>10</v>
      </c>
    </row>
    <row r="1105">
      <c r="E1105" s="3" t="s">
        <v>9</v>
      </c>
      <c r="F1105" s="3" t="s">
        <v>10</v>
      </c>
    </row>
    <row r="1106">
      <c r="E1106" s="3" t="s">
        <v>9</v>
      </c>
      <c r="F1106" s="3" t="s">
        <v>10</v>
      </c>
    </row>
    <row r="1107">
      <c r="E1107" s="3" t="s">
        <v>9</v>
      </c>
      <c r="F1107" s="3" t="s">
        <v>10</v>
      </c>
    </row>
    <row r="1108">
      <c r="E1108" s="3" t="s">
        <v>9</v>
      </c>
      <c r="F1108" s="3" t="s">
        <v>10</v>
      </c>
    </row>
    <row r="1109">
      <c r="E1109" s="3" t="s">
        <v>9</v>
      </c>
      <c r="F1109" s="3" t="s">
        <v>10</v>
      </c>
    </row>
    <row r="1110">
      <c r="E1110" s="3" t="s">
        <v>9</v>
      </c>
      <c r="F1110" s="3" t="s">
        <v>10</v>
      </c>
    </row>
    <row r="1111">
      <c r="E1111" s="3" t="s">
        <v>9</v>
      </c>
      <c r="F1111" s="3" t="s">
        <v>10</v>
      </c>
    </row>
    <row r="1112">
      <c r="E1112" s="3" t="s">
        <v>9</v>
      </c>
      <c r="F1112" s="3" t="s">
        <v>10</v>
      </c>
    </row>
    <row r="1113">
      <c r="E1113" s="3" t="s">
        <v>9</v>
      </c>
      <c r="F1113" s="3" t="s">
        <v>10</v>
      </c>
    </row>
    <row r="1114">
      <c r="E1114" s="3" t="s">
        <v>9</v>
      </c>
      <c r="F1114" s="3" t="s">
        <v>10</v>
      </c>
    </row>
    <row r="1115">
      <c r="E1115" s="3" t="s">
        <v>9</v>
      </c>
      <c r="F1115" s="3" t="s">
        <v>10</v>
      </c>
    </row>
    <row r="1116">
      <c r="E1116" s="3" t="s">
        <v>9</v>
      </c>
      <c r="F1116" s="3" t="s">
        <v>10</v>
      </c>
    </row>
    <row r="1117">
      <c r="E1117" s="3" t="s">
        <v>9</v>
      </c>
      <c r="F1117" s="3" t="s">
        <v>10</v>
      </c>
    </row>
    <row r="1118">
      <c r="E1118" s="3" t="s">
        <v>9</v>
      </c>
      <c r="F1118" s="3" t="s">
        <v>10</v>
      </c>
    </row>
    <row r="1119">
      <c r="E1119" s="3" t="s">
        <v>9</v>
      </c>
      <c r="F1119" s="3" t="s">
        <v>10</v>
      </c>
    </row>
    <row r="1120">
      <c r="E1120" s="3" t="s">
        <v>9</v>
      </c>
      <c r="F1120" s="3" t="s">
        <v>10</v>
      </c>
    </row>
    <row r="1121">
      <c r="E1121" s="3" t="s">
        <v>9</v>
      </c>
      <c r="F1121" s="3" t="s">
        <v>10</v>
      </c>
    </row>
    <row r="1122">
      <c r="E1122" s="3" t="s">
        <v>9</v>
      </c>
      <c r="F1122" s="3" t="s">
        <v>10</v>
      </c>
    </row>
    <row r="1123">
      <c r="E1123" s="3" t="s">
        <v>9</v>
      </c>
      <c r="F1123" s="3" t="s">
        <v>10</v>
      </c>
    </row>
    <row r="1124">
      <c r="E1124" s="3" t="s">
        <v>9</v>
      </c>
      <c r="F1124" s="3" t="s">
        <v>10</v>
      </c>
    </row>
    <row r="1125">
      <c r="E1125" s="3" t="s">
        <v>9</v>
      </c>
      <c r="F1125" s="3" t="s">
        <v>10</v>
      </c>
    </row>
    <row r="1126">
      <c r="E1126" s="3" t="s">
        <v>9</v>
      </c>
      <c r="F1126" s="3" t="s">
        <v>10</v>
      </c>
    </row>
    <row r="1127">
      <c r="E1127" s="3" t="s">
        <v>9</v>
      </c>
      <c r="F1127" s="3" t="s">
        <v>10</v>
      </c>
    </row>
    <row r="1128">
      <c r="E1128" s="3" t="s">
        <v>9</v>
      </c>
      <c r="F1128" s="3" t="s">
        <v>10</v>
      </c>
    </row>
    <row r="1129">
      <c r="E1129" s="3" t="s">
        <v>9</v>
      </c>
      <c r="F1129" s="3" t="s">
        <v>10</v>
      </c>
    </row>
    <row r="1130">
      <c r="E1130" s="3" t="s">
        <v>9</v>
      </c>
      <c r="F1130" s="3" t="s">
        <v>10</v>
      </c>
    </row>
    <row r="1131">
      <c r="E1131" s="3" t="s">
        <v>9</v>
      </c>
      <c r="F1131" s="3" t="s">
        <v>10</v>
      </c>
    </row>
    <row r="1132">
      <c r="E1132" s="3" t="s">
        <v>9</v>
      </c>
      <c r="F1132" s="3" t="s">
        <v>10</v>
      </c>
    </row>
    <row r="1133">
      <c r="E1133" s="3" t="s">
        <v>9</v>
      </c>
      <c r="F1133" s="3" t="s">
        <v>10</v>
      </c>
    </row>
    <row r="1134">
      <c r="E1134" s="3" t="s">
        <v>9</v>
      </c>
      <c r="F1134" s="3" t="s">
        <v>10</v>
      </c>
    </row>
    <row r="1135">
      <c r="E1135" s="3" t="s">
        <v>9</v>
      </c>
      <c r="F1135" s="3" t="s">
        <v>10</v>
      </c>
    </row>
    <row r="1136">
      <c r="E1136" s="3" t="s">
        <v>9</v>
      </c>
      <c r="F1136" s="3" t="s">
        <v>10</v>
      </c>
    </row>
    <row r="1137">
      <c r="E1137" s="3" t="s">
        <v>9</v>
      </c>
      <c r="F1137" s="3" t="s">
        <v>10</v>
      </c>
    </row>
    <row r="1138">
      <c r="E1138" s="3" t="s">
        <v>9</v>
      </c>
      <c r="F1138" s="3" t="s">
        <v>10</v>
      </c>
    </row>
    <row r="1139">
      <c r="E1139" s="3" t="s">
        <v>9</v>
      </c>
      <c r="F1139" s="3" t="s">
        <v>10</v>
      </c>
    </row>
    <row r="1140">
      <c r="E1140" s="3" t="s">
        <v>9</v>
      </c>
      <c r="F1140" s="3" t="s">
        <v>10</v>
      </c>
    </row>
    <row r="1141">
      <c r="E1141" s="3" t="s">
        <v>9</v>
      </c>
      <c r="F1141" s="3" t="s">
        <v>10</v>
      </c>
    </row>
    <row r="1142">
      <c r="E1142" s="3" t="s">
        <v>9</v>
      </c>
      <c r="F1142" s="3" t="s">
        <v>10</v>
      </c>
    </row>
    <row r="1143">
      <c r="E1143" s="3" t="s">
        <v>9</v>
      </c>
      <c r="F1143" s="3" t="s">
        <v>10</v>
      </c>
    </row>
    <row r="1144">
      <c r="E1144" s="3" t="s">
        <v>9</v>
      </c>
      <c r="F1144" s="3" t="s">
        <v>10</v>
      </c>
    </row>
    <row r="1145">
      <c r="E1145" s="3" t="s">
        <v>9</v>
      </c>
      <c r="F1145" s="3" t="s">
        <v>10</v>
      </c>
    </row>
    <row r="1146">
      <c r="E1146" s="3" t="s">
        <v>9</v>
      </c>
      <c r="F1146" s="3" t="s">
        <v>10</v>
      </c>
    </row>
    <row r="1147">
      <c r="E1147" s="3" t="s">
        <v>9</v>
      </c>
      <c r="F1147" s="3" t="s">
        <v>10</v>
      </c>
    </row>
    <row r="1148">
      <c r="E1148" s="3" t="s">
        <v>9</v>
      </c>
      <c r="F1148" s="3" t="s">
        <v>10</v>
      </c>
    </row>
    <row r="1149">
      <c r="E1149" s="3" t="s">
        <v>9</v>
      </c>
      <c r="F1149" s="3" t="s">
        <v>10</v>
      </c>
    </row>
    <row r="1150">
      <c r="E1150" s="3" t="s">
        <v>9</v>
      </c>
      <c r="F1150" s="3" t="s">
        <v>10</v>
      </c>
    </row>
    <row r="1151">
      <c r="E1151" s="3" t="s">
        <v>9</v>
      </c>
      <c r="F1151" s="3" t="s">
        <v>10</v>
      </c>
    </row>
    <row r="1152">
      <c r="E1152" s="3" t="s">
        <v>9</v>
      </c>
      <c r="F1152" s="3" t="s">
        <v>10</v>
      </c>
    </row>
    <row r="1153">
      <c r="E1153" s="3" t="s">
        <v>9</v>
      </c>
      <c r="F1153" s="3" t="s">
        <v>10</v>
      </c>
    </row>
    <row r="1154">
      <c r="E1154" s="3" t="s">
        <v>9</v>
      </c>
      <c r="F1154" s="3" t="s">
        <v>10</v>
      </c>
    </row>
    <row r="1155">
      <c r="E1155" s="3" t="s">
        <v>9</v>
      </c>
      <c r="F1155" s="3" t="s">
        <v>10</v>
      </c>
    </row>
    <row r="1156">
      <c r="E1156" s="3" t="s">
        <v>9</v>
      </c>
      <c r="F1156" s="3" t="s">
        <v>10</v>
      </c>
    </row>
    <row r="1157">
      <c r="E1157" s="3" t="s">
        <v>9</v>
      </c>
      <c r="F1157" s="3" t="s">
        <v>10</v>
      </c>
    </row>
    <row r="1158">
      <c r="E1158" s="3" t="s">
        <v>9</v>
      </c>
      <c r="F1158" s="3" t="s">
        <v>10</v>
      </c>
    </row>
    <row r="1159">
      <c r="E1159" s="3" t="s">
        <v>9</v>
      </c>
      <c r="F1159" s="3" t="s">
        <v>10</v>
      </c>
    </row>
    <row r="1160">
      <c r="E1160" s="3" t="s">
        <v>9</v>
      </c>
      <c r="F1160" s="3" t="s">
        <v>10</v>
      </c>
    </row>
    <row r="1161">
      <c r="E1161" s="3" t="s">
        <v>9</v>
      </c>
      <c r="F1161" s="3" t="s">
        <v>10</v>
      </c>
    </row>
    <row r="1162">
      <c r="E1162" s="3" t="s">
        <v>9</v>
      </c>
      <c r="F1162" s="3" t="s">
        <v>10</v>
      </c>
    </row>
    <row r="1163">
      <c r="E1163" s="3" t="s">
        <v>9</v>
      </c>
      <c r="F1163" s="3" t="s">
        <v>10</v>
      </c>
    </row>
    <row r="1164">
      <c r="E1164" s="3" t="s">
        <v>9</v>
      </c>
      <c r="F1164" s="3" t="s">
        <v>10</v>
      </c>
    </row>
    <row r="1165">
      <c r="E1165" s="3" t="s">
        <v>9</v>
      </c>
      <c r="F1165" s="3" t="s">
        <v>10</v>
      </c>
    </row>
    <row r="1166">
      <c r="E1166" s="3" t="s">
        <v>9</v>
      </c>
      <c r="F1166" s="3" t="s">
        <v>10</v>
      </c>
    </row>
    <row r="1167">
      <c r="E1167" s="3" t="s">
        <v>9</v>
      </c>
      <c r="F1167" s="3" t="s">
        <v>10</v>
      </c>
    </row>
    <row r="1168">
      <c r="E1168" s="3" t="s">
        <v>9</v>
      </c>
      <c r="F1168" s="3" t="s">
        <v>10</v>
      </c>
    </row>
    <row r="1169">
      <c r="E1169" s="3" t="s">
        <v>9</v>
      </c>
      <c r="F1169" s="3" t="s">
        <v>10</v>
      </c>
    </row>
    <row r="1170">
      <c r="E1170" s="3" t="s">
        <v>9</v>
      </c>
      <c r="F1170" s="3" t="s">
        <v>10</v>
      </c>
    </row>
    <row r="1171">
      <c r="E1171" s="3" t="s">
        <v>9</v>
      </c>
      <c r="F1171" s="3" t="s">
        <v>10</v>
      </c>
    </row>
    <row r="1172">
      <c r="E1172" s="3" t="s">
        <v>9</v>
      </c>
      <c r="F1172" s="3" t="s">
        <v>10</v>
      </c>
    </row>
    <row r="1173">
      <c r="E1173" s="3" t="s">
        <v>9</v>
      </c>
      <c r="F1173" s="3" t="s">
        <v>10</v>
      </c>
    </row>
    <row r="1174">
      <c r="E1174" s="3" t="s">
        <v>9</v>
      </c>
      <c r="F1174" s="3" t="s">
        <v>10</v>
      </c>
    </row>
    <row r="1175">
      <c r="E1175" s="3" t="s">
        <v>9</v>
      </c>
      <c r="F1175" s="3" t="s">
        <v>10</v>
      </c>
    </row>
    <row r="1176">
      <c r="E1176" s="3" t="s">
        <v>9</v>
      </c>
      <c r="F1176" s="3" t="s">
        <v>10</v>
      </c>
    </row>
    <row r="1177">
      <c r="E1177" s="3" t="s">
        <v>9</v>
      </c>
      <c r="F1177" s="3" t="s">
        <v>10</v>
      </c>
    </row>
    <row r="1178">
      <c r="E1178" s="3" t="s">
        <v>9</v>
      </c>
      <c r="F1178" s="3" t="s">
        <v>10</v>
      </c>
    </row>
    <row r="1179">
      <c r="E1179" s="3" t="s">
        <v>9</v>
      </c>
      <c r="F1179" s="3" t="s">
        <v>10</v>
      </c>
    </row>
    <row r="1180">
      <c r="E1180" s="3" t="s">
        <v>9</v>
      </c>
      <c r="F1180" s="3" t="s">
        <v>10</v>
      </c>
    </row>
    <row r="1181">
      <c r="E1181" s="3" t="s">
        <v>9</v>
      </c>
      <c r="F1181" s="3" t="s">
        <v>10</v>
      </c>
    </row>
    <row r="1182">
      <c r="E1182" s="3" t="s">
        <v>9</v>
      </c>
      <c r="F1182" s="3" t="s">
        <v>10</v>
      </c>
    </row>
    <row r="1183">
      <c r="E1183" s="3" t="s">
        <v>9</v>
      </c>
      <c r="F1183" s="3" t="s">
        <v>10</v>
      </c>
    </row>
    <row r="1184">
      <c r="E1184" s="3" t="s">
        <v>9</v>
      </c>
      <c r="F1184" s="3" t="s">
        <v>10</v>
      </c>
    </row>
    <row r="1185">
      <c r="E1185" s="3" t="s">
        <v>9</v>
      </c>
      <c r="F1185" s="3" t="s">
        <v>10</v>
      </c>
    </row>
    <row r="1186">
      <c r="E1186" s="3" t="s">
        <v>9</v>
      </c>
      <c r="F1186" s="3" t="s">
        <v>10</v>
      </c>
    </row>
    <row r="1187">
      <c r="E1187" s="3" t="s">
        <v>9</v>
      </c>
      <c r="F1187" s="3" t="s">
        <v>10</v>
      </c>
    </row>
    <row r="1188">
      <c r="E1188" s="3" t="s">
        <v>9</v>
      </c>
      <c r="F1188" s="3" t="s">
        <v>10</v>
      </c>
    </row>
    <row r="1189">
      <c r="E1189" s="3" t="s">
        <v>9</v>
      </c>
      <c r="F1189" s="3" t="s">
        <v>10</v>
      </c>
    </row>
    <row r="1190">
      <c r="E1190" s="3" t="s">
        <v>9</v>
      </c>
      <c r="F1190" s="3" t="s">
        <v>10</v>
      </c>
    </row>
    <row r="1191">
      <c r="E1191" s="3" t="s">
        <v>9</v>
      </c>
      <c r="F1191" s="3" t="s">
        <v>10</v>
      </c>
    </row>
    <row r="1192">
      <c r="E1192" s="3" t="s">
        <v>9</v>
      </c>
      <c r="F1192" s="3" t="s">
        <v>10</v>
      </c>
    </row>
    <row r="1193">
      <c r="E1193" s="3" t="s">
        <v>9</v>
      </c>
      <c r="F1193" s="3" t="s">
        <v>10</v>
      </c>
    </row>
    <row r="1194">
      <c r="E1194" s="3" t="s">
        <v>9</v>
      </c>
      <c r="F1194" s="3" t="s">
        <v>10</v>
      </c>
    </row>
    <row r="1195">
      <c r="E1195" s="3" t="s">
        <v>9</v>
      </c>
      <c r="F1195" s="3" t="s">
        <v>10</v>
      </c>
    </row>
    <row r="1196">
      <c r="E1196" s="3" t="s">
        <v>9</v>
      </c>
      <c r="F1196" s="3" t="s">
        <v>10</v>
      </c>
    </row>
    <row r="1197">
      <c r="E1197" s="3" t="s">
        <v>9</v>
      </c>
      <c r="F1197" s="3" t="s">
        <v>10</v>
      </c>
    </row>
    <row r="1198">
      <c r="E1198" s="3" t="s">
        <v>9</v>
      </c>
      <c r="F1198" s="3" t="s">
        <v>10</v>
      </c>
    </row>
    <row r="1199">
      <c r="E1199" s="3" t="s">
        <v>9</v>
      </c>
      <c r="F1199" s="3" t="s">
        <v>10</v>
      </c>
    </row>
    <row r="1200">
      <c r="E1200" s="3" t="s">
        <v>9</v>
      </c>
      <c r="F1200" s="3" t="s">
        <v>10</v>
      </c>
    </row>
    <row r="1201">
      <c r="E1201" s="3" t="s">
        <v>9</v>
      </c>
      <c r="F1201" s="3" t="s">
        <v>10</v>
      </c>
    </row>
    <row r="1202">
      <c r="E1202" s="3" t="s">
        <v>9</v>
      </c>
      <c r="F1202" s="3" t="s">
        <v>10</v>
      </c>
    </row>
    <row r="1203">
      <c r="E1203" s="3" t="s">
        <v>9</v>
      </c>
      <c r="F1203" s="3" t="s">
        <v>10</v>
      </c>
    </row>
    <row r="1204">
      <c r="E1204" s="3" t="s">
        <v>9</v>
      </c>
      <c r="F1204" s="3" t="s">
        <v>10</v>
      </c>
    </row>
    <row r="1205">
      <c r="E1205" s="3" t="s">
        <v>9</v>
      </c>
      <c r="F1205" s="3" t="s">
        <v>10</v>
      </c>
    </row>
    <row r="1206">
      <c r="E1206" s="3" t="s">
        <v>9</v>
      </c>
      <c r="F1206" s="3" t="s">
        <v>10</v>
      </c>
    </row>
    <row r="1207">
      <c r="E1207" s="3" t="s">
        <v>9</v>
      </c>
      <c r="F1207" s="3" t="s">
        <v>10</v>
      </c>
    </row>
    <row r="1208">
      <c r="E1208" s="3" t="s">
        <v>9</v>
      </c>
      <c r="F1208" s="3" t="s">
        <v>10</v>
      </c>
    </row>
    <row r="1209">
      <c r="E1209" s="3" t="s">
        <v>9</v>
      </c>
      <c r="F1209" s="3" t="s">
        <v>10</v>
      </c>
    </row>
    <row r="1210">
      <c r="E1210" s="3" t="s">
        <v>9</v>
      </c>
      <c r="F1210" s="3" t="s">
        <v>10</v>
      </c>
    </row>
    <row r="1211">
      <c r="E1211" s="3" t="s">
        <v>9</v>
      </c>
      <c r="F1211" s="3" t="s">
        <v>10</v>
      </c>
    </row>
    <row r="1212">
      <c r="E1212" s="3" t="s">
        <v>9</v>
      </c>
      <c r="F1212" s="3" t="s">
        <v>10</v>
      </c>
    </row>
    <row r="1213">
      <c r="E1213" s="3" t="s">
        <v>9</v>
      </c>
      <c r="F1213" s="3" t="s">
        <v>10</v>
      </c>
    </row>
    <row r="1214">
      <c r="E1214" s="3" t="s">
        <v>9</v>
      </c>
      <c r="F1214" s="3" t="s">
        <v>10</v>
      </c>
    </row>
    <row r="1215">
      <c r="E1215" s="3" t="s">
        <v>9</v>
      </c>
      <c r="F1215" s="3" t="s">
        <v>10</v>
      </c>
    </row>
    <row r="1216">
      <c r="E1216" s="3" t="s">
        <v>9</v>
      </c>
      <c r="F1216" s="3" t="s">
        <v>10</v>
      </c>
    </row>
    <row r="1217">
      <c r="E1217" s="3" t="s">
        <v>9</v>
      </c>
      <c r="F1217" s="3" t="s">
        <v>10</v>
      </c>
    </row>
    <row r="1218">
      <c r="E1218" s="3" t="s">
        <v>9</v>
      </c>
      <c r="F1218" s="3" t="s">
        <v>10</v>
      </c>
    </row>
    <row r="1219">
      <c r="E1219" s="3" t="s">
        <v>9</v>
      </c>
      <c r="F1219" s="3" t="s">
        <v>10</v>
      </c>
    </row>
    <row r="1220">
      <c r="E1220" s="3" t="s">
        <v>9</v>
      </c>
      <c r="F1220" s="3" t="s">
        <v>10</v>
      </c>
    </row>
    <row r="1221">
      <c r="E1221" s="3" t="s">
        <v>9</v>
      </c>
      <c r="F1221" s="3" t="s">
        <v>10</v>
      </c>
    </row>
    <row r="1222">
      <c r="E1222" s="3" t="s">
        <v>9</v>
      </c>
      <c r="F1222" s="3" t="s">
        <v>10</v>
      </c>
    </row>
    <row r="1223">
      <c r="E1223" s="3" t="s">
        <v>9</v>
      </c>
      <c r="F1223" s="3" t="s">
        <v>10</v>
      </c>
    </row>
    <row r="1224">
      <c r="E1224" s="3" t="s">
        <v>9</v>
      </c>
      <c r="F1224" s="3" t="s">
        <v>10</v>
      </c>
    </row>
    <row r="1225">
      <c r="E1225" s="3" t="s">
        <v>9</v>
      </c>
      <c r="F1225" s="3" t="s">
        <v>10</v>
      </c>
    </row>
    <row r="1226">
      <c r="E1226" s="3" t="s">
        <v>9</v>
      </c>
      <c r="F1226" s="3" t="s">
        <v>10</v>
      </c>
    </row>
    <row r="1227">
      <c r="E1227" s="3" t="s">
        <v>9</v>
      </c>
      <c r="F1227" s="3" t="s">
        <v>10</v>
      </c>
    </row>
    <row r="1228">
      <c r="E1228" s="3" t="s">
        <v>9</v>
      </c>
      <c r="F1228" s="3" t="s">
        <v>10</v>
      </c>
    </row>
    <row r="1229">
      <c r="E1229" s="3" t="s">
        <v>9</v>
      </c>
      <c r="F1229" s="3" t="s">
        <v>10</v>
      </c>
    </row>
    <row r="1230">
      <c r="E1230" s="3" t="s">
        <v>9</v>
      </c>
      <c r="F1230" s="3" t="s">
        <v>10</v>
      </c>
    </row>
    <row r="1231">
      <c r="E1231" s="3" t="s">
        <v>9</v>
      </c>
      <c r="F1231" s="3" t="s">
        <v>10</v>
      </c>
    </row>
    <row r="1232">
      <c r="E1232" s="3" t="s">
        <v>9</v>
      </c>
      <c r="F1232" s="3" t="s">
        <v>10</v>
      </c>
    </row>
    <row r="1233">
      <c r="E1233" s="3" t="s">
        <v>9</v>
      </c>
      <c r="F1233" s="3" t="s">
        <v>10</v>
      </c>
    </row>
    <row r="1234">
      <c r="E1234" s="3" t="s">
        <v>9</v>
      </c>
      <c r="F1234" s="3" t="s">
        <v>10</v>
      </c>
    </row>
    <row r="1235">
      <c r="E1235" s="3" t="s">
        <v>9</v>
      </c>
      <c r="F1235" s="3" t="s">
        <v>10</v>
      </c>
    </row>
    <row r="1236">
      <c r="E1236" s="3" t="s">
        <v>9</v>
      </c>
      <c r="F1236" s="3" t="s">
        <v>10</v>
      </c>
    </row>
    <row r="1237">
      <c r="E1237" s="3" t="s">
        <v>9</v>
      </c>
      <c r="F1237" s="3" t="s">
        <v>10</v>
      </c>
    </row>
    <row r="1238">
      <c r="E1238" s="3" t="s">
        <v>9</v>
      </c>
      <c r="F1238" s="3" t="s">
        <v>10</v>
      </c>
    </row>
    <row r="1239">
      <c r="E1239" s="3" t="s">
        <v>9</v>
      </c>
      <c r="F1239" s="3" t="s">
        <v>10</v>
      </c>
    </row>
    <row r="1240">
      <c r="E1240" s="3" t="s">
        <v>9</v>
      </c>
      <c r="F1240" s="3" t="s">
        <v>10</v>
      </c>
    </row>
    <row r="1241">
      <c r="E1241" s="3" t="s">
        <v>9</v>
      </c>
      <c r="F1241" s="3" t="s">
        <v>10</v>
      </c>
    </row>
    <row r="1242">
      <c r="E1242" s="3" t="s">
        <v>9</v>
      </c>
      <c r="F1242" s="3" t="s">
        <v>10</v>
      </c>
    </row>
    <row r="1243">
      <c r="E1243" s="3" t="s">
        <v>9</v>
      </c>
      <c r="F1243" s="3" t="s">
        <v>10</v>
      </c>
    </row>
    <row r="1244">
      <c r="E1244" s="3" t="s">
        <v>9</v>
      </c>
      <c r="F1244" s="3" t="s">
        <v>10</v>
      </c>
    </row>
    <row r="1245">
      <c r="E1245" s="3" t="s">
        <v>9</v>
      </c>
      <c r="F1245" s="3" t="s">
        <v>10</v>
      </c>
    </row>
    <row r="1246">
      <c r="E1246" s="3" t="s">
        <v>9</v>
      </c>
      <c r="F1246" s="3" t="s">
        <v>10</v>
      </c>
    </row>
    <row r="1247">
      <c r="E1247" s="3" t="s">
        <v>9</v>
      </c>
      <c r="F1247" s="3" t="s">
        <v>10</v>
      </c>
    </row>
    <row r="1248">
      <c r="E1248" s="3" t="s">
        <v>9</v>
      </c>
      <c r="F1248" s="3" t="s">
        <v>10</v>
      </c>
    </row>
    <row r="1249">
      <c r="E1249" s="3" t="s">
        <v>9</v>
      </c>
      <c r="F1249" s="3" t="s">
        <v>10</v>
      </c>
    </row>
    <row r="1250">
      <c r="E1250" s="3" t="s">
        <v>9</v>
      </c>
      <c r="F1250" s="3" t="s">
        <v>10</v>
      </c>
    </row>
    <row r="1251">
      <c r="E1251" s="3" t="s">
        <v>9</v>
      </c>
      <c r="F1251" s="3" t="s">
        <v>10</v>
      </c>
    </row>
    <row r="1252">
      <c r="E1252" s="3" t="s">
        <v>9</v>
      </c>
      <c r="F1252" s="3" t="s">
        <v>10</v>
      </c>
    </row>
    <row r="1253">
      <c r="E1253" s="3" t="s">
        <v>9</v>
      </c>
      <c r="F1253" s="3" t="s">
        <v>10</v>
      </c>
    </row>
    <row r="1254">
      <c r="E1254" s="3" t="s">
        <v>9</v>
      </c>
      <c r="F1254" s="3" t="s">
        <v>10</v>
      </c>
    </row>
    <row r="1255">
      <c r="E1255" s="3" t="s">
        <v>9</v>
      </c>
      <c r="F1255" s="3" t="s">
        <v>10</v>
      </c>
    </row>
    <row r="1256">
      <c r="E1256" s="3" t="s">
        <v>9</v>
      </c>
      <c r="F1256" s="3" t="s">
        <v>10</v>
      </c>
    </row>
    <row r="1257">
      <c r="E1257" s="3" t="s">
        <v>9</v>
      </c>
      <c r="F1257" s="3" t="s">
        <v>10</v>
      </c>
    </row>
    <row r="1258">
      <c r="E1258" s="3" t="s">
        <v>9</v>
      </c>
      <c r="F1258" s="3" t="s">
        <v>10</v>
      </c>
    </row>
    <row r="1259">
      <c r="E1259" s="3" t="s">
        <v>9</v>
      </c>
      <c r="F1259" s="3" t="s">
        <v>10</v>
      </c>
    </row>
    <row r="1260">
      <c r="E1260" s="3" t="s">
        <v>9</v>
      </c>
      <c r="F1260" s="3" t="s">
        <v>10</v>
      </c>
    </row>
    <row r="1261">
      <c r="E1261" s="3" t="s">
        <v>9</v>
      </c>
      <c r="F1261" s="3" t="s">
        <v>10</v>
      </c>
    </row>
    <row r="1262">
      <c r="E1262" s="3" t="s">
        <v>9</v>
      </c>
      <c r="F1262" s="3" t="s">
        <v>10</v>
      </c>
    </row>
    <row r="1263">
      <c r="E1263" s="3" t="s">
        <v>9</v>
      </c>
      <c r="F1263" s="3" t="s">
        <v>10</v>
      </c>
    </row>
    <row r="1264">
      <c r="E1264" s="3" t="s">
        <v>9</v>
      </c>
      <c r="F1264" s="3" t="s">
        <v>10</v>
      </c>
    </row>
    <row r="1265">
      <c r="E1265" s="3" t="s">
        <v>9</v>
      </c>
      <c r="F1265" s="3" t="s">
        <v>10</v>
      </c>
    </row>
    <row r="1266">
      <c r="E1266" s="3" t="s">
        <v>9</v>
      </c>
      <c r="F1266" s="3" t="s">
        <v>10</v>
      </c>
    </row>
    <row r="1267">
      <c r="E1267" s="3" t="s">
        <v>9</v>
      </c>
      <c r="F1267" s="3" t="s">
        <v>10</v>
      </c>
    </row>
    <row r="1268">
      <c r="E1268" s="3" t="s">
        <v>9</v>
      </c>
      <c r="F1268" s="3" t="s">
        <v>10</v>
      </c>
    </row>
    <row r="1269">
      <c r="E1269" s="3" t="s">
        <v>9</v>
      </c>
      <c r="F1269" s="3" t="s">
        <v>10</v>
      </c>
    </row>
    <row r="1270">
      <c r="E1270" s="3" t="s">
        <v>9</v>
      </c>
      <c r="F1270" s="3" t="s">
        <v>10</v>
      </c>
    </row>
    <row r="1271">
      <c r="E1271" s="3" t="s">
        <v>9</v>
      </c>
      <c r="F1271" s="3" t="s">
        <v>10</v>
      </c>
    </row>
    <row r="1272">
      <c r="E1272" s="3" t="s">
        <v>9</v>
      </c>
      <c r="F1272" s="3" t="s">
        <v>10</v>
      </c>
    </row>
    <row r="1273">
      <c r="E1273" s="3" t="s">
        <v>9</v>
      </c>
      <c r="F1273" s="3" t="s">
        <v>10</v>
      </c>
    </row>
    <row r="1274">
      <c r="E1274" s="3" t="s">
        <v>9</v>
      </c>
      <c r="F1274" s="3" t="s">
        <v>10</v>
      </c>
    </row>
    <row r="1275">
      <c r="E1275" s="3" t="s">
        <v>9</v>
      </c>
      <c r="F1275" s="3" t="s">
        <v>10</v>
      </c>
    </row>
    <row r="1276">
      <c r="E1276" s="3" t="s">
        <v>9</v>
      </c>
      <c r="F1276" s="3" t="s">
        <v>10</v>
      </c>
    </row>
    <row r="1277">
      <c r="E1277" s="3" t="s">
        <v>9</v>
      </c>
      <c r="F1277" s="3" t="s">
        <v>10</v>
      </c>
    </row>
    <row r="1278">
      <c r="E1278" s="3" t="s">
        <v>9</v>
      </c>
      <c r="F1278" s="3" t="s">
        <v>10</v>
      </c>
    </row>
    <row r="1279">
      <c r="E1279" s="3" t="s">
        <v>9</v>
      </c>
      <c r="F1279" s="3" t="s">
        <v>10</v>
      </c>
    </row>
    <row r="1280">
      <c r="E1280" s="3" t="s">
        <v>9</v>
      </c>
      <c r="F1280" s="3" t="s">
        <v>10</v>
      </c>
    </row>
    <row r="1281">
      <c r="E1281" s="3" t="s">
        <v>9</v>
      </c>
      <c r="F1281" s="3" t="s">
        <v>10</v>
      </c>
    </row>
    <row r="1282">
      <c r="E1282" s="3" t="s">
        <v>9</v>
      </c>
      <c r="F1282" s="3" t="s">
        <v>10</v>
      </c>
    </row>
    <row r="1283">
      <c r="E1283" s="3" t="s">
        <v>9</v>
      </c>
      <c r="F1283" s="3" t="s">
        <v>10</v>
      </c>
    </row>
    <row r="1284">
      <c r="E1284" s="3" t="s">
        <v>9</v>
      </c>
      <c r="F1284" s="3" t="s">
        <v>10</v>
      </c>
    </row>
    <row r="1285">
      <c r="E1285" s="3" t="s">
        <v>9</v>
      </c>
      <c r="F1285" s="3" t="s">
        <v>10</v>
      </c>
    </row>
    <row r="1286">
      <c r="E1286" s="3" t="s">
        <v>9</v>
      </c>
      <c r="F1286" s="3" t="s">
        <v>10</v>
      </c>
    </row>
    <row r="1287">
      <c r="E1287" s="3" t="s">
        <v>9</v>
      </c>
      <c r="F1287" s="3" t="s">
        <v>10</v>
      </c>
    </row>
    <row r="1288">
      <c r="E1288" s="3" t="s">
        <v>9</v>
      </c>
      <c r="F1288" s="3" t="s">
        <v>10</v>
      </c>
    </row>
    <row r="1289">
      <c r="E1289" s="3" t="s">
        <v>9</v>
      </c>
      <c r="F1289" s="3" t="s">
        <v>10</v>
      </c>
    </row>
    <row r="1290">
      <c r="E1290" s="3" t="s">
        <v>9</v>
      </c>
      <c r="F1290" s="3" t="s">
        <v>10</v>
      </c>
    </row>
    <row r="1291">
      <c r="E1291" s="3" t="s">
        <v>9</v>
      </c>
      <c r="F1291" s="3" t="s">
        <v>10</v>
      </c>
    </row>
    <row r="1292">
      <c r="E1292" s="3" t="s">
        <v>9</v>
      </c>
      <c r="F1292" s="3" t="s">
        <v>10</v>
      </c>
    </row>
    <row r="1293">
      <c r="E1293" s="3" t="s">
        <v>9</v>
      </c>
      <c r="F1293" s="3" t="s">
        <v>10</v>
      </c>
    </row>
    <row r="1294">
      <c r="E1294" s="3" t="s">
        <v>9</v>
      </c>
      <c r="F1294" s="3" t="s">
        <v>10</v>
      </c>
    </row>
    <row r="1295">
      <c r="E1295" s="3" t="s">
        <v>9</v>
      </c>
      <c r="F1295" s="3" t="s">
        <v>10</v>
      </c>
    </row>
    <row r="1296">
      <c r="E1296" s="3" t="s">
        <v>9</v>
      </c>
      <c r="F1296" s="3" t="s">
        <v>10</v>
      </c>
    </row>
    <row r="1297">
      <c r="E1297" s="3" t="s">
        <v>9</v>
      </c>
      <c r="F1297" s="3" t="s">
        <v>10</v>
      </c>
    </row>
    <row r="1298">
      <c r="E1298" s="3" t="s">
        <v>9</v>
      </c>
      <c r="F1298" s="3" t="s">
        <v>10</v>
      </c>
    </row>
    <row r="1299">
      <c r="E1299" s="3" t="s">
        <v>9</v>
      </c>
      <c r="F1299" s="3" t="s">
        <v>10</v>
      </c>
    </row>
    <row r="1300">
      <c r="E1300" s="3" t="s">
        <v>9</v>
      </c>
      <c r="F1300" s="3" t="s">
        <v>10</v>
      </c>
    </row>
    <row r="1301">
      <c r="E1301" s="3" t="s">
        <v>9</v>
      </c>
      <c r="F1301" s="3" t="s">
        <v>10</v>
      </c>
    </row>
    <row r="1302">
      <c r="E1302" s="3" t="s">
        <v>9</v>
      </c>
      <c r="F1302" s="3" t="s">
        <v>10</v>
      </c>
    </row>
    <row r="1303">
      <c r="E1303" s="3" t="s">
        <v>9</v>
      </c>
      <c r="F1303" s="3" t="s">
        <v>10</v>
      </c>
    </row>
    <row r="1304">
      <c r="E1304" s="3" t="s">
        <v>9</v>
      </c>
      <c r="F1304" s="3" t="s">
        <v>10</v>
      </c>
    </row>
    <row r="1305">
      <c r="E1305" s="3" t="s">
        <v>9</v>
      </c>
      <c r="F1305" s="3" t="s">
        <v>10</v>
      </c>
    </row>
    <row r="1306">
      <c r="E1306" s="3" t="s">
        <v>9</v>
      </c>
      <c r="F1306" s="3" t="s">
        <v>10</v>
      </c>
    </row>
    <row r="1307">
      <c r="E1307" s="3" t="s">
        <v>9</v>
      </c>
      <c r="F1307" s="3" t="s">
        <v>10</v>
      </c>
    </row>
    <row r="1308">
      <c r="E1308" s="3" t="s">
        <v>9</v>
      </c>
      <c r="F1308" s="3" t="s">
        <v>10</v>
      </c>
    </row>
    <row r="1309">
      <c r="E1309" s="3" t="s">
        <v>9</v>
      </c>
      <c r="F1309" s="3" t="s">
        <v>10</v>
      </c>
    </row>
    <row r="1310">
      <c r="E1310" s="3" t="s">
        <v>9</v>
      </c>
      <c r="F1310" s="3" t="s">
        <v>10</v>
      </c>
    </row>
    <row r="1311">
      <c r="E1311" s="3" t="s">
        <v>9</v>
      </c>
      <c r="F1311" s="3" t="s">
        <v>10</v>
      </c>
    </row>
    <row r="1312">
      <c r="E1312" s="3" t="s">
        <v>9</v>
      </c>
      <c r="F1312" s="3" t="s">
        <v>10</v>
      </c>
    </row>
    <row r="1313">
      <c r="E1313" s="3" t="s">
        <v>9</v>
      </c>
      <c r="F1313" s="3" t="s">
        <v>10</v>
      </c>
    </row>
    <row r="1314">
      <c r="E1314" s="3" t="s">
        <v>9</v>
      </c>
      <c r="F1314" s="3" t="s">
        <v>10</v>
      </c>
    </row>
    <row r="1315">
      <c r="E1315" s="3" t="s">
        <v>9</v>
      </c>
      <c r="F1315" s="3" t="s">
        <v>10</v>
      </c>
    </row>
    <row r="1316">
      <c r="E1316" s="3" t="s">
        <v>9</v>
      </c>
      <c r="F1316" s="3" t="s">
        <v>10</v>
      </c>
    </row>
    <row r="1317">
      <c r="E1317" s="3" t="s">
        <v>9</v>
      </c>
      <c r="F1317" s="3" t="s">
        <v>10</v>
      </c>
    </row>
    <row r="1318">
      <c r="E1318" s="3" t="s">
        <v>9</v>
      </c>
      <c r="F1318" s="3" t="s">
        <v>10</v>
      </c>
    </row>
    <row r="1319">
      <c r="E1319" s="3" t="s">
        <v>9</v>
      </c>
      <c r="F1319" s="3" t="s">
        <v>10</v>
      </c>
    </row>
    <row r="1320">
      <c r="E1320" s="3" t="s">
        <v>9</v>
      </c>
      <c r="F1320" s="3" t="s">
        <v>10</v>
      </c>
    </row>
    <row r="1321">
      <c r="E1321" s="3" t="s">
        <v>9</v>
      </c>
      <c r="F1321" s="3" t="s">
        <v>10</v>
      </c>
    </row>
    <row r="1322">
      <c r="E1322" s="3" t="s">
        <v>9</v>
      </c>
      <c r="F1322" s="3" t="s">
        <v>10</v>
      </c>
    </row>
    <row r="1323">
      <c r="E1323" s="3" t="s">
        <v>9</v>
      </c>
      <c r="F1323" s="3" t="s">
        <v>10</v>
      </c>
    </row>
    <row r="1324">
      <c r="E1324" s="3" t="s">
        <v>9</v>
      </c>
      <c r="F1324" s="3" t="s">
        <v>10</v>
      </c>
    </row>
    <row r="1325">
      <c r="E1325" s="3" t="s">
        <v>9</v>
      </c>
      <c r="F1325" s="3" t="s">
        <v>10</v>
      </c>
    </row>
    <row r="1326">
      <c r="E1326" s="3" t="s">
        <v>9</v>
      </c>
      <c r="F1326" s="3" t="s">
        <v>10</v>
      </c>
    </row>
    <row r="1327">
      <c r="E1327" s="3" t="s">
        <v>9</v>
      </c>
      <c r="F1327" s="3" t="s">
        <v>10</v>
      </c>
    </row>
    <row r="1328">
      <c r="E1328" s="3" t="s">
        <v>9</v>
      </c>
      <c r="F1328" s="3" t="s">
        <v>10</v>
      </c>
    </row>
    <row r="1329">
      <c r="E1329" s="3" t="s">
        <v>9</v>
      </c>
      <c r="F1329" s="3" t="s">
        <v>10</v>
      </c>
    </row>
    <row r="1330">
      <c r="E1330" s="3" t="s">
        <v>9</v>
      </c>
      <c r="F1330" s="3" t="s">
        <v>10</v>
      </c>
    </row>
    <row r="1331">
      <c r="E1331" s="3" t="s">
        <v>9</v>
      </c>
      <c r="F1331" s="3" t="s">
        <v>10</v>
      </c>
    </row>
    <row r="1332">
      <c r="E1332" s="3" t="s">
        <v>9</v>
      </c>
      <c r="F1332" s="3" t="s">
        <v>10</v>
      </c>
    </row>
    <row r="1333">
      <c r="E1333" s="3" t="s">
        <v>9</v>
      </c>
      <c r="F1333" s="3" t="s">
        <v>10</v>
      </c>
    </row>
    <row r="1334">
      <c r="E1334" s="3" t="s">
        <v>9</v>
      </c>
      <c r="F1334" s="3" t="s">
        <v>10</v>
      </c>
    </row>
    <row r="1335">
      <c r="E1335" s="3" t="s">
        <v>9</v>
      </c>
      <c r="F1335" s="3" t="s">
        <v>10</v>
      </c>
    </row>
    <row r="1336">
      <c r="E1336" s="3" t="s">
        <v>9</v>
      </c>
      <c r="F1336" s="3" t="s">
        <v>10</v>
      </c>
    </row>
    <row r="1337">
      <c r="E1337" s="3" t="s">
        <v>9</v>
      </c>
      <c r="F1337" s="3" t="s">
        <v>10</v>
      </c>
    </row>
    <row r="1338">
      <c r="E1338" s="3" t="s">
        <v>9</v>
      </c>
      <c r="F1338" s="3" t="s">
        <v>10</v>
      </c>
    </row>
    <row r="1339">
      <c r="E1339" s="3" t="s">
        <v>9</v>
      </c>
      <c r="F1339" s="3" t="s">
        <v>10</v>
      </c>
    </row>
    <row r="1340">
      <c r="E1340" s="3" t="s">
        <v>9</v>
      </c>
      <c r="F1340" s="3" t="s">
        <v>10</v>
      </c>
    </row>
    <row r="1341">
      <c r="E1341" s="3" t="s">
        <v>9</v>
      </c>
      <c r="F1341" s="3" t="s">
        <v>10</v>
      </c>
    </row>
    <row r="1342">
      <c r="E1342" s="3" t="s">
        <v>9</v>
      </c>
      <c r="F1342" s="3" t="s">
        <v>10</v>
      </c>
    </row>
    <row r="1343">
      <c r="E1343" s="3" t="s">
        <v>9</v>
      </c>
      <c r="F1343" s="3" t="s">
        <v>10</v>
      </c>
    </row>
    <row r="1344">
      <c r="E1344" s="3" t="s">
        <v>9</v>
      </c>
      <c r="F1344" s="3" t="s">
        <v>10</v>
      </c>
    </row>
    <row r="1345">
      <c r="E1345" s="3" t="s">
        <v>9</v>
      </c>
      <c r="F1345" s="3" t="s">
        <v>10</v>
      </c>
    </row>
    <row r="1346">
      <c r="E1346" s="3" t="s">
        <v>9</v>
      </c>
      <c r="F1346" s="3" t="s">
        <v>10</v>
      </c>
    </row>
    <row r="1347">
      <c r="E1347" s="3" t="s">
        <v>9</v>
      </c>
      <c r="F1347" s="3" t="s">
        <v>10</v>
      </c>
    </row>
    <row r="1348">
      <c r="E1348" s="3" t="s">
        <v>9</v>
      </c>
      <c r="F1348" s="3" t="s">
        <v>10</v>
      </c>
    </row>
    <row r="1349">
      <c r="E1349" s="3" t="s">
        <v>9</v>
      </c>
      <c r="F1349" s="3" t="s">
        <v>10</v>
      </c>
    </row>
    <row r="1350">
      <c r="E1350" s="3" t="s">
        <v>9</v>
      </c>
      <c r="F1350" s="3" t="s">
        <v>10</v>
      </c>
    </row>
    <row r="1351">
      <c r="E1351" s="3" t="s">
        <v>9</v>
      </c>
      <c r="F1351" s="3" t="s">
        <v>10</v>
      </c>
    </row>
    <row r="1352">
      <c r="E1352" s="3" t="s">
        <v>9</v>
      </c>
      <c r="F1352" s="3" t="s">
        <v>10</v>
      </c>
    </row>
    <row r="1353">
      <c r="E1353" s="3" t="s">
        <v>9</v>
      </c>
      <c r="F1353" s="3" t="s">
        <v>10</v>
      </c>
    </row>
    <row r="1354">
      <c r="E1354" s="3" t="s">
        <v>9</v>
      </c>
      <c r="F1354" s="3" t="s">
        <v>10</v>
      </c>
    </row>
    <row r="1355">
      <c r="E1355" s="3" t="s">
        <v>9</v>
      </c>
      <c r="F1355" s="3" t="s">
        <v>10</v>
      </c>
    </row>
    <row r="1356">
      <c r="E1356" s="3" t="s">
        <v>9</v>
      </c>
      <c r="F1356" s="3" t="s">
        <v>10</v>
      </c>
    </row>
    <row r="1357">
      <c r="E1357" s="3" t="s">
        <v>9</v>
      </c>
      <c r="F1357" s="3" t="s">
        <v>10</v>
      </c>
    </row>
    <row r="1358">
      <c r="E1358" s="3" t="s">
        <v>9</v>
      </c>
      <c r="F1358" s="3" t="s">
        <v>10</v>
      </c>
    </row>
    <row r="1359">
      <c r="E1359" s="3" t="s">
        <v>9</v>
      </c>
      <c r="F1359" s="3" t="s">
        <v>10</v>
      </c>
    </row>
    <row r="1360">
      <c r="E1360" s="3" t="s">
        <v>9</v>
      </c>
      <c r="F1360" s="3" t="s">
        <v>10</v>
      </c>
    </row>
    <row r="1361">
      <c r="E1361" s="3" t="s">
        <v>9</v>
      </c>
      <c r="F1361" s="3" t="s">
        <v>10</v>
      </c>
    </row>
    <row r="1362">
      <c r="E1362" s="3" t="s">
        <v>9</v>
      </c>
      <c r="F1362" s="3" t="s">
        <v>10</v>
      </c>
    </row>
    <row r="1363">
      <c r="E1363" s="3" t="s">
        <v>9</v>
      </c>
      <c r="F1363" s="3" t="s">
        <v>10</v>
      </c>
    </row>
    <row r="1364">
      <c r="E1364" s="3" t="s">
        <v>9</v>
      </c>
      <c r="F1364" s="3" t="s">
        <v>10</v>
      </c>
    </row>
    <row r="1365">
      <c r="E1365" s="3" t="s">
        <v>9</v>
      </c>
      <c r="F1365" s="3" t="s">
        <v>10</v>
      </c>
    </row>
    <row r="1366">
      <c r="E1366" s="3" t="s">
        <v>9</v>
      </c>
      <c r="F1366" s="3" t="s">
        <v>10</v>
      </c>
    </row>
    <row r="1367">
      <c r="E1367" s="3" t="s">
        <v>9</v>
      </c>
      <c r="F1367" s="3" t="s">
        <v>10</v>
      </c>
    </row>
    <row r="1368">
      <c r="E1368" s="3" t="s">
        <v>9</v>
      </c>
      <c r="F1368" s="3" t="s">
        <v>10</v>
      </c>
    </row>
    <row r="1369">
      <c r="E1369" s="3" t="s">
        <v>9</v>
      </c>
      <c r="F1369" s="3" t="s">
        <v>10</v>
      </c>
    </row>
    <row r="1370">
      <c r="E1370" s="3" t="s">
        <v>9</v>
      </c>
      <c r="F1370" s="3" t="s">
        <v>10</v>
      </c>
    </row>
    <row r="1371">
      <c r="E1371" s="3" t="s">
        <v>9</v>
      </c>
      <c r="F1371" s="3" t="s">
        <v>10</v>
      </c>
    </row>
    <row r="1372">
      <c r="E1372" s="3" t="s">
        <v>9</v>
      </c>
      <c r="F1372" s="3" t="s">
        <v>10</v>
      </c>
    </row>
    <row r="1373">
      <c r="E1373" s="3" t="s">
        <v>9</v>
      </c>
      <c r="F1373" s="3" t="s">
        <v>10</v>
      </c>
    </row>
    <row r="1374">
      <c r="E1374" s="3" t="s">
        <v>9</v>
      </c>
      <c r="F1374" s="3" t="s">
        <v>10</v>
      </c>
    </row>
    <row r="1375">
      <c r="E1375" s="3" t="s">
        <v>9</v>
      </c>
      <c r="F1375" s="3" t="s">
        <v>10</v>
      </c>
    </row>
    <row r="1376">
      <c r="E1376" s="3" t="s">
        <v>9</v>
      </c>
      <c r="F1376" s="3" t="s">
        <v>10</v>
      </c>
    </row>
    <row r="1377">
      <c r="E1377" s="3" t="s">
        <v>9</v>
      </c>
      <c r="F1377" s="3" t="s">
        <v>10</v>
      </c>
    </row>
    <row r="1378">
      <c r="E1378" s="3" t="s">
        <v>9</v>
      </c>
      <c r="F1378" s="3" t="s">
        <v>10</v>
      </c>
    </row>
    <row r="1379">
      <c r="E1379" s="3" t="s">
        <v>9</v>
      </c>
      <c r="F1379" s="3" t="s">
        <v>10</v>
      </c>
    </row>
    <row r="1380">
      <c r="E1380" s="3" t="s">
        <v>9</v>
      </c>
      <c r="F1380" s="3" t="s">
        <v>10</v>
      </c>
    </row>
    <row r="1381">
      <c r="E1381" s="3" t="s">
        <v>9</v>
      </c>
      <c r="F1381" s="3" t="s">
        <v>10</v>
      </c>
    </row>
    <row r="1382">
      <c r="E1382" s="3" t="s">
        <v>9</v>
      </c>
      <c r="F1382" s="3" t="s">
        <v>10</v>
      </c>
    </row>
    <row r="1383">
      <c r="E1383" s="3" t="s">
        <v>9</v>
      </c>
      <c r="F1383" s="3" t="s">
        <v>10</v>
      </c>
    </row>
    <row r="1384">
      <c r="E1384" s="3" t="s">
        <v>9</v>
      </c>
      <c r="F1384" s="3" t="s">
        <v>10</v>
      </c>
    </row>
    <row r="1385">
      <c r="E1385" s="3" t="s">
        <v>9</v>
      </c>
      <c r="F1385" s="3" t="s">
        <v>10</v>
      </c>
    </row>
    <row r="1386">
      <c r="E1386" s="3" t="s">
        <v>9</v>
      </c>
      <c r="F1386" s="3" t="s">
        <v>10</v>
      </c>
    </row>
    <row r="1387">
      <c r="E1387" s="3" t="s">
        <v>9</v>
      </c>
      <c r="F1387" s="3" t="s">
        <v>10</v>
      </c>
    </row>
    <row r="1388">
      <c r="E1388" s="3" t="s">
        <v>9</v>
      </c>
      <c r="F1388" s="3" t="s">
        <v>10</v>
      </c>
    </row>
    <row r="1389">
      <c r="E1389" s="3" t="s">
        <v>9</v>
      </c>
      <c r="F1389" s="3" t="s">
        <v>10</v>
      </c>
    </row>
    <row r="1390">
      <c r="E1390" s="3" t="s">
        <v>9</v>
      </c>
      <c r="F1390" s="3" t="s">
        <v>10</v>
      </c>
    </row>
    <row r="1391">
      <c r="E1391" s="3" t="s">
        <v>9</v>
      </c>
      <c r="F1391" s="3" t="s">
        <v>10</v>
      </c>
    </row>
    <row r="1392">
      <c r="E1392" s="3" t="s">
        <v>9</v>
      </c>
      <c r="F1392" s="3" t="s">
        <v>10</v>
      </c>
    </row>
    <row r="1393">
      <c r="E1393" s="3" t="s">
        <v>9</v>
      </c>
      <c r="F1393" s="3" t="s">
        <v>10</v>
      </c>
    </row>
    <row r="1394">
      <c r="E1394" s="3" t="s">
        <v>9</v>
      </c>
      <c r="F1394" s="3" t="s">
        <v>10</v>
      </c>
    </row>
    <row r="1395">
      <c r="E1395" s="3" t="s">
        <v>9</v>
      </c>
      <c r="F1395" s="3" t="s">
        <v>10</v>
      </c>
    </row>
    <row r="1396">
      <c r="E1396" s="3" t="s">
        <v>9</v>
      </c>
      <c r="F1396" s="3" t="s">
        <v>10</v>
      </c>
    </row>
    <row r="1397">
      <c r="E1397" s="3" t="s">
        <v>9</v>
      </c>
      <c r="F1397" s="3" t="s">
        <v>10</v>
      </c>
    </row>
    <row r="1398">
      <c r="E1398" s="3" t="s">
        <v>9</v>
      </c>
      <c r="F1398" s="3" t="s">
        <v>10</v>
      </c>
    </row>
    <row r="1399">
      <c r="E1399" s="3" t="s">
        <v>9</v>
      </c>
      <c r="F1399" s="3" t="s">
        <v>10</v>
      </c>
    </row>
    <row r="1400">
      <c r="E1400" s="3" t="s">
        <v>9</v>
      </c>
      <c r="F1400" s="3" t="s">
        <v>10</v>
      </c>
    </row>
    <row r="1401">
      <c r="E1401" s="3" t="s">
        <v>9</v>
      </c>
      <c r="F1401" s="3" t="s">
        <v>10</v>
      </c>
    </row>
    <row r="1402">
      <c r="E1402" s="3" t="s">
        <v>9</v>
      </c>
      <c r="F1402" s="3" t="s">
        <v>10</v>
      </c>
    </row>
    <row r="1403">
      <c r="E1403" s="3" t="s">
        <v>9</v>
      </c>
      <c r="F1403" s="3" t="s">
        <v>10</v>
      </c>
    </row>
    <row r="1404">
      <c r="E1404" s="3" t="s">
        <v>9</v>
      </c>
      <c r="F1404" s="3" t="s">
        <v>10</v>
      </c>
    </row>
    <row r="1405">
      <c r="E1405" s="3" t="s">
        <v>9</v>
      </c>
      <c r="F1405" s="3" t="s">
        <v>10</v>
      </c>
    </row>
    <row r="1406">
      <c r="E1406" s="3" t="s">
        <v>9</v>
      </c>
      <c r="F1406" s="3" t="s">
        <v>10</v>
      </c>
    </row>
    <row r="1407">
      <c r="E1407" s="3" t="s">
        <v>9</v>
      </c>
      <c r="F1407" s="3" t="s">
        <v>10</v>
      </c>
    </row>
    <row r="1408">
      <c r="E1408" s="3" t="s">
        <v>9</v>
      </c>
      <c r="F1408" s="3" t="s">
        <v>10</v>
      </c>
    </row>
    <row r="1409">
      <c r="E1409" s="3" t="s">
        <v>9</v>
      </c>
      <c r="F1409" s="3" t="s">
        <v>10</v>
      </c>
    </row>
    <row r="1410">
      <c r="E1410" s="3" t="s">
        <v>9</v>
      </c>
      <c r="F1410" s="3" t="s">
        <v>10</v>
      </c>
    </row>
    <row r="1411">
      <c r="E1411" s="3" t="s">
        <v>9</v>
      </c>
      <c r="F1411" s="3" t="s">
        <v>10</v>
      </c>
    </row>
    <row r="1412">
      <c r="E1412" s="3" t="s">
        <v>9</v>
      </c>
      <c r="F1412" s="3" t="s">
        <v>10</v>
      </c>
    </row>
    <row r="1413">
      <c r="E1413" s="3" t="s">
        <v>9</v>
      </c>
      <c r="F1413" s="3" t="s">
        <v>10</v>
      </c>
    </row>
    <row r="1414">
      <c r="E1414" s="3" t="s">
        <v>9</v>
      </c>
      <c r="F1414" s="3" t="s">
        <v>10</v>
      </c>
    </row>
    <row r="1415">
      <c r="E1415" s="3" t="s">
        <v>9</v>
      </c>
      <c r="F1415" s="3" t="s">
        <v>10</v>
      </c>
    </row>
    <row r="1416">
      <c r="E1416" s="3" t="s">
        <v>9</v>
      </c>
      <c r="F1416" s="3" t="s">
        <v>10</v>
      </c>
    </row>
    <row r="1417">
      <c r="E1417" s="3" t="s">
        <v>9</v>
      </c>
      <c r="F1417" s="3" t="s">
        <v>10</v>
      </c>
    </row>
    <row r="1418">
      <c r="E1418" s="3" t="s">
        <v>9</v>
      </c>
      <c r="F1418" s="3" t="s">
        <v>10</v>
      </c>
    </row>
    <row r="1419">
      <c r="E1419" s="3" t="s">
        <v>9</v>
      </c>
      <c r="F1419" s="3" t="s">
        <v>10</v>
      </c>
    </row>
    <row r="1420">
      <c r="E1420" s="3" t="s">
        <v>9</v>
      </c>
      <c r="F1420" s="3" t="s">
        <v>10</v>
      </c>
    </row>
    <row r="1421">
      <c r="E1421" s="3" t="s">
        <v>9</v>
      </c>
      <c r="F1421" s="3" t="s">
        <v>10</v>
      </c>
    </row>
    <row r="1422">
      <c r="E1422" s="3" t="s">
        <v>9</v>
      </c>
      <c r="F1422" s="3" t="s">
        <v>10</v>
      </c>
    </row>
    <row r="1423">
      <c r="E1423" s="3" t="s">
        <v>9</v>
      </c>
      <c r="F1423" s="3" t="s">
        <v>10</v>
      </c>
    </row>
    <row r="1424">
      <c r="E1424" s="3" t="s">
        <v>9</v>
      </c>
      <c r="F1424" s="3" t="s">
        <v>10</v>
      </c>
    </row>
    <row r="1425">
      <c r="E1425" s="3" t="s">
        <v>9</v>
      </c>
      <c r="F1425" s="3" t="s">
        <v>10</v>
      </c>
    </row>
    <row r="1426">
      <c r="E1426" s="3" t="s">
        <v>9</v>
      </c>
      <c r="F1426" s="3" t="s">
        <v>10</v>
      </c>
    </row>
    <row r="1427">
      <c r="E1427" s="3" t="s">
        <v>9</v>
      </c>
      <c r="F1427" s="3" t="s">
        <v>10</v>
      </c>
    </row>
    <row r="1428">
      <c r="E1428" s="3" t="s">
        <v>9</v>
      </c>
      <c r="F1428" s="3" t="s">
        <v>10</v>
      </c>
    </row>
    <row r="1429">
      <c r="E1429" s="3" t="s">
        <v>9</v>
      </c>
      <c r="F1429" s="3" t="s">
        <v>10</v>
      </c>
    </row>
    <row r="1430">
      <c r="E1430" s="3" t="s">
        <v>9</v>
      </c>
      <c r="F1430" s="3" t="s">
        <v>10</v>
      </c>
    </row>
    <row r="1431">
      <c r="E1431" s="3" t="s">
        <v>9</v>
      </c>
      <c r="F1431" s="3" t="s">
        <v>10</v>
      </c>
    </row>
    <row r="1432">
      <c r="E1432" s="3" t="s">
        <v>9</v>
      </c>
      <c r="F1432" s="3" t="s">
        <v>10</v>
      </c>
    </row>
    <row r="1433">
      <c r="E1433" s="3" t="s">
        <v>9</v>
      </c>
      <c r="F1433" s="3" t="s">
        <v>10</v>
      </c>
    </row>
    <row r="1434">
      <c r="E1434" s="3" t="s">
        <v>9</v>
      </c>
      <c r="F1434" s="3" t="s">
        <v>10</v>
      </c>
    </row>
    <row r="1435">
      <c r="E1435" s="3" t="s">
        <v>9</v>
      </c>
      <c r="F1435" s="3" t="s">
        <v>10</v>
      </c>
    </row>
    <row r="1436">
      <c r="E1436" s="3" t="s">
        <v>9</v>
      </c>
      <c r="F1436" s="3" t="s">
        <v>10</v>
      </c>
    </row>
    <row r="1437">
      <c r="E1437" s="3" t="s">
        <v>9</v>
      </c>
      <c r="F1437" s="3" t="s">
        <v>10</v>
      </c>
    </row>
    <row r="1438">
      <c r="E1438" s="3" t="s">
        <v>9</v>
      </c>
      <c r="F1438" s="3" t="s">
        <v>10</v>
      </c>
    </row>
    <row r="1439">
      <c r="E1439" s="3" t="s">
        <v>9</v>
      </c>
      <c r="F1439" s="3" t="s">
        <v>10</v>
      </c>
    </row>
    <row r="1440">
      <c r="E1440" s="3" t="s">
        <v>9</v>
      </c>
      <c r="F1440" s="3" t="s">
        <v>10</v>
      </c>
    </row>
    <row r="1441">
      <c r="E1441" s="3" t="s">
        <v>9</v>
      </c>
      <c r="F1441" s="3" t="s">
        <v>10</v>
      </c>
    </row>
    <row r="1442">
      <c r="E1442" s="3" t="s">
        <v>9</v>
      </c>
      <c r="F1442" s="3" t="s">
        <v>10</v>
      </c>
    </row>
    <row r="1443">
      <c r="E1443" s="3" t="s">
        <v>9</v>
      </c>
      <c r="F1443" s="3" t="s">
        <v>10</v>
      </c>
    </row>
    <row r="1444">
      <c r="E1444" s="3" t="s">
        <v>9</v>
      </c>
      <c r="F1444" s="3" t="s">
        <v>10</v>
      </c>
    </row>
    <row r="1445">
      <c r="E1445" s="3" t="s">
        <v>9</v>
      </c>
      <c r="F1445" s="3" t="s">
        <v>10</v>
      </c>
    </row>
    <row r="1446">
      <c r="E1446" s="3" t="s">
        <v>9</v>
      </c>
      <c r="F1446" s="3" t="s">
        <v>10</v>
      </c>
    </row>
    <row r="1447">
      <c r="E1447" s="3" t="s">
        <v>9</v>
      </c>
      <c r="F1447" s="3" t="s">
        <v>10</v>
      </c>
    </row>
    <row r="1448">
      <c r="E1448" s="3" t="s">
        <v>9</v>
      </c>
      <c r="F1448" s="3" t="s">
        <v>10</v>
      </c>
    </row>
    <row r="1449">
      <c r="E1449" s="3" t="s">
        <v>9</v>
      </c>
      <c r="F1449" s="3" t="s">
        <v>10</v>
      </c>
    </row>
    <row r="1450">
      <c r="E1450" s="3" t="s">
        <v>9</v>
      </c>
      <c r="F1450" s="3" t="s">
        <v>10</v>
      </c>
    </row>
    <row r="1451">
      <c r="E1451" s="3" t="s">
        <v>9</v>
      </c>
      <c r="F1451" s="3" t="s">
        <v>10</v>
      </c>
    </row>
    <row r="1452">
      <c r="E1452" s="3" t="s">
        <v>9</v>
      </c>
      <c r="F1452" s="3" t="s">
        <v>10</v>
      </c>
    </row>
    <row r="1453">
      <c r="E1453" s="3" t="s">
        <v>9</v>
      </c>
      <c r="F1453" s="3" t="s">
        <v>10</v>
      </c>
    </row>
    <row r="1454">
      <c r="E1454" s="3" t="s">
        <v>9</v>
      </c>
      <c r="F1454" s="3" t="s">
        <v>10</v>
      </c>
    </row>
    <row r="1455">
      <c r="E1455" s="3" t="s">
        <v>9</v>
      </c>
      <c r="F1455" s="3" t="s">
        <v>10</v>
      </c>
    </row>
    <row r="1456">
      <c r="E1456" s="3" t="s">
        <v>9</v>
      </c>
      <c r="F1456" s="3" t="s">
        <v>10</v>
      </c>
    </row>
    <row r="1457">
      <c r="E1457" s="3" t="s">
        <v>9</v>
      </c>
      <c r="F1457" s="3" t="s">
        <v>10</v>
      </c>
    </row>
    <row r="1458">
      <c r="E1458" s="3" t="s">
        <v>9</v>
      </c>
      <c r="F1458" s="3" t="s">
        <v>10</v>
      </c>
    </row>
    <row r="1459">
      <c r="E1459" s="3" t="s">
        <v>9</v>
      </c>
      <c r="F1459" s="3" t="s">
        <v>10</v>
      </c>
    </row>
    <row r="1460">
      <c r="E1460" s="3" t="s">
        <v>9</v>
      </c>
      <c r="F1460" s="3" t="s">
        <v>10</v>
      </c>
    </row>
    <row r="1461">
      <c r="E1461" s="3" t="s">
        <v>9</v>
      </c>
      <c r="F1461" s="3" t="s">
        <v>10</v>
      </c>
    </row>
    <row r="1462">
      <c r="E1462" s="3" t="s">
        <v>9</v>
      </c>
      <c r="F1462" s="3" t="s">
        <v>10</v>
      </c>
    </row>
    <row r="1463">
      <c r="E1463" s="3" t="s">
        <v>9</v>
      </c>
      <c r="F1463" s="3" t="s">
        <v>10</v>
      </c>
    </row>
    <row r="1464">
      <c r="E1464" s="3" t="s">
        <v>9</v>
      </c>
      <c r="F1464" s="3" t="s">
        <v>10</v>
      </c>
    </row>
    <row r="1465">
      <c r="E1465" s="3" t="s">
        <v>9</v>
      </c>
      <c r="F1465" s="3" t="s">
        <v>10</v>
      </c>
    </row>
    <row r="1466">
      <c r="E1466" s="3" t="s">
        <v>9</v>
      </c>
      <c r="F1466" s="3" t="s">
        <v>10</v>
      </c>
    </row>
    <row r="1467">
      <c r="E1467" s="3" t="s">
        <v>9</v>
      </c>
      <c r="F1467" s="3" t="s">
        <v>10</v>
      </c>
    </row>
    <row r="1468">
      <c r="E1468" s="3" t="s">
        <v>9</v>
      </c>
      <c r="F1468" s="3" t="s">
        <v>10</v>
      </c>
    </row>
    <row r="1469">
      <c r="E1469" s="3" t="s">
        <v>9</v>
      </c>
      <c r="F1469" s="3" t="s">
        <v>10</v>
      </c>
    </row>
    <row r="1470">
      <c r="E1470" s="3" t="s">
        <v>9</v>
      </c>
      <c r="F1470" s="3" t="s">
        <v>10</v>
      </c>
    </row>
    <row r="1471">
      <c r="E1471" s="3" t="s">
        <v>9</v>
      </c>
      <c r="F1471" s="3" t="s">
        <v>10</v>
      </c>
    </row>
    <row r="1472">
      <c r="E1472" s="3" t="s">
        <v>9</v>
      </c>
      <c r="F1472" s="3" t="s">
        <v>10</v>
      </c>
    </row>
    <row r="1473">
      <c r="E1473" s="3" t="s">
        <v>9</v>
      </c>
      <c r="F1473" s="3" t="s">
        <v>10</v>
      </c>
    </row>
    <row r="1474">
      <c r="E1474" s="3" t="s">
        <v>9</v>
      </c>
      <c r="F1474" s="3" t="s">
        <v>10</v>
      </c>
    </row>
    <row r="1475">
      <c r="E1475" s="3" t="s">
        <v>9</v>
      </c>
      <c r="F1475" s="3" t="s">
        <v>10</v>
      </c>
    </row>
    <row r="1476">
      <c r="E1476" s="3" t="s">
        <v>9</v>
      </c>
      <c r="F1476" s="3" t="s">
        <v>10</v>
      </c>
    </row>
    <row r="1477">
      <c r="E1477" s="3" t="s">
        <v>9</v>
      </c>
      <c r="F1477" s="3" t="s">
        <v>10</v>
      </c>
    </row>
    <row r="1478">
      <c r="E1478" s="3" t="s">
        <v>9</v>
      </c>
      <c r="F1478" s="3" t="s">
        <v>10</v>
      </c>
    </row>
    <row r="1479">
      <c r="E1479" s="3" t="s">
        <v>9</v>
      </c>
      <c r="F1479" s="3" t="s">
        <v>10</v>
      </c>
    </row>
    <row r="1480">
      <c r="E1480" s="3" t="s">
        <v>9</v>
      </c>
      <c r="F1480" s="3" t="s">
        <v>10</v>
      </c>
    </row>
    <row r="1481">
      <c r="E1481" s="3" t="s">
        <v>9</v>
      </c>
      <c r="F1481" s="3" t="s">
        <v>10</v>
      </c>
    </row>
    <row r="1482">
      <c r="E1482" s="3" t="s">
        <v>9</v>
      </c>
      <c r="F1482" s="3" t="s">
        <v>10</v>
      </c>
    </row>
    <row r="1483">
      <c r="E1483" s="3" t="s">
        <v>9</v>
      </c>
      <c r="F1483" s="3" t="s">
        <v>10</v>
      </c>
    </row>
    <row r="1484">
      <c r="E1484" s="3" t="s">
        <v>9</v>
      </c>
      <c r="F1484" s="3" t="s">
        <v>10</v>
      </c>
    </row>
    <row r="1485">
      <c r="E1485" s="3" t="s">
        <v>9</v>
      </c>
      <c r="F1485" s="3" t="s">
        <v>10</v>
      </c>
    </row>
    <row r="1486">
      <c r="E1486" s="3" t="s">
        <v>9</v>
      </c>
      <c r="F1486" s="3" t="s">
        <v>10</v>
      </c>
    </row>
    <row r="1487">
      <c r="E1487" s="3" t="s">
        <v>9</v>
      </c>
      <c r="F1487" s="3" t="s">
        <v>10</v>
      </c>
    </row>
    <row r="1488">
      <c r="E1488" s="3" t="s">
        <v>9</v>
      </c>
      <c r="F1488" s="3" t="s">
        <v>10</v>
      </c>
    </row>
    <row r="1489">
      <c r="E1489" s="3" t="s">
        <v>9</v>
      </c>
      <c r="F1489" s="3" t="s">
        <v>10</v>
      </c>
    </row>
    <row r="1490">
      <c r="E1490" s="3" t="s">
        <v>9</v>
      </c>
      <c r="F1490" s="3" t="s">
        <v>10</v>
      </c>
    </row>
    <row r="1491">
      <c r="E1491" s="3" t="s">
        <v>9</v>
      </c>
      <c r="F1491" s="3" t="s">
        <v>10</v>
      </c>
    </row>
    <row r="1492">
      <c r="E1492" s="3" t="s">
        <v>9</v>
      </c>
      <c r="F1492" s="3" t="s">
        <v>10</v>
      </c>
    </row>
    <row r="1493">
      <c r="E1493" s="3" t="s">
        <v>9</v>
      </c>
      <c r="F1493" s="3" t="s">
        <v>10</v>
      </c>
    </row>
    <row r="1494">
      <c r="E1494" s="3" t="s">
        <v>9</v>
      </c>
      <c r="F1494" s="3" t="s">
        <v>10</v>
      </c>
    </row>
    <row r="1495">
      <c r="E1495" s="3" t="s">
        <v>9</v>
      </c>
      <c r="F1495" s="3" t="s">
        <v>10</v>
      </c>
    </row>
    <row r="1496">
      <c r="E1496" s="3" t="s">
        <v>9</v>
      </c>
      <c r="F1496" s="3" t="s">
        <v>10</v>
      </c>
    </row>
    <row r="1497">
      <c r="E1497" s="3" t="s">
        <v>9</v>
      </c>
      <c r="F1497" s="3" t="s">
        <v>10</v>
      </c>
    </row>
    <row r="1498">
      <c r="E1498" s="3" t="s">
        <v>9</v>
      </c>
      <c r="F1498" s="3" t="s">
        <v>10</v>
      </c>
    </row>
    <row r="1499">
      <c r="E1499" s="3" t="s">
        <v>9</v>
      </c>
      <c r="F1499" s="3" t="s">
        <v>10</v>
      </c>
    </row>
    <row r="1500">
      <c r="E1500" s="3" t="s">
        <v>9</v>
      </c>
      <c r="F1500" s="3" t="s">
        <v>10</v>
      </c>
    </row>
    <row r="1501">
      <c r="E1501" s="3" t="s">
        <v>9</v>
      </c>
      <c r="F1501" s="3" t="s">
        <v>10</v>
      </c>
    </row>
    <row r="1502">
      <c r="E1502" s="3" t="s">
        <v>9</v>
      </c>
      <c r="F1502" s="3" t="s">
        <v>10</v>
      </c>
    </row>
    <row r="1503">
      <c r="E1503" s="3" t="s">
        <v>9</v>
      </c>
      <c r="F1503" s="3" t="s">
        <v>10</v>
      </c>
    </row>
    <row r="1504">
      <c r="E1504" s="3" t="s">
        <v>9</v>
      </c>
      <c r="F1504" s="3" t="s">
        <v>10</v>
      </c>
    </row>
    <row r="1505">
      <c r="E1505" s="3" t="s">
        <v>9</v>
      </c>
      <c r="F1505" s="3" t="s">
        <v>10</v>
      </c>
    </row>
    <row r="1506">
      <c r="E1506" s="3" t="s">
        <v>9</v>
      </c>
      <c r="F1506" s="3" t="s">
        <v>10</v>
      </c>
    </row>
    <row r="1507">
      <c r="E1507" s="3" t="s">
        <v>9</v>
      </c>
      <c r="F1507" s="3" t="s">
        <v>10</v>
      </c>
    </row>
    <row r="1508">
      <c r="E1508" s="3" t="s">
        <v>9</v>
      </c>
      <c r="F1508" s="3" t="s">
        <v>10</v>
      </c>
    </row>
    <row r="1509">
      <c r="E1509" s="3" t="s">
        <v>9</v>
      </c>
      <c r="F1509" s="3" t="s">
        <v>10</v>
      </c>
    </row>
    <row r="1510">
      <c r="E1510" s="3" t="s">
        <v>9</v>
      </c>
      <c r="F1510" s="3" t="s">
        <v>10</v>
      </c>
    </row>
    <row r="1511">
      <c r="E1511" s="3" t="s">
        <v>9</v>
      </c>
      <c r="F1511" s="3" t="s">
        <v>10</v>
      </c>
    </row>
    <row r="1512">
      <c r="E1512" s="3" t="s">
        <v>9</v>
      </c>
      <c r="F1512" s="3" t="s">
        <v>10</v>
      </c>
    </row>
    <row r="1513">
      <c r="E1513" s="3" t="s">
        <v>9</v>
      </c>
      <c r="F1513" s="3" t="s">
        <v>10</v>
      </c>
    </row>
    <row r="1514">
      <c r="E1514" s="3" t="s">
        <v>9</v>
      </c>
      <c r="F1514" s="3" t="s">
        <v>10</v>
      </c>
    </row>
    <row r="1515">
      <c r="E1515" s="3" t="s">
        <v>9</v>
      </c>
      <c r="F1515" s="3" t="s">
        <v>10</v>
      </c>
    </row>
    <row r="1516">
      <c r="E1516" s="3" t="s">
        <v>9</v>
      </c>
      <c r="F1516" s="3" t="s">
        <v>10</v>
      </c>
    </row>
    <row r="1517">
      <c r="E1517" s="3" t="s">
        <v>9</v>
      </c>
      <c r="F1517" s="3" t="s">
        <v>10</v>
      </c>
    </row>
    <row r="1518">
      <c r="E1518" s="3" t="s">
        <v>9</v>
      </c>
      <c r="F1518" s="3" t="s">
        <v>10</v>
      </c>
    </row>
    <row r="1519">
      <c r="E1519" s="3" t="s">
        <v>9</v>
      </c>
      <c r="F1519" s="3" t="s">
        <v>10</v>
      </c>
    </row>
    <row r="1520">
      <c r="E1520" s="3" t="s">
        <v>9</v>
      </c>
      <c r="F1520" s="3" t="s">
        <v>10</v>
      </c>
    </row>
    <row r="1521">
      <c r="E1521" s="3" t="s">
        <v>9</v>
      </c>
      <c r="F1521" s="3" t="s">
        <v>10</v>
      </c>
    </row>
    <row r="1522">
      <c r="E1522" s="3" t="s">
        <v>9</v>
      </c>
      <c r="F1522" s="3" t="s">
        <v>10</v>
      </c>
    </row>
    <row r="1523">
      <c r="E1523" s="3" t="s">
        <v>9</v>
      </c>
      <c r="F1523" s="3" t="s">
        <v>10</v>
      </c>
    </row>
    <row r="1524">
      <c r="E1524" s="3" t="s">
        <v>9</v>
      </c>
      <c r="F1524" s="3" t="s">
        <v>10</v>
      </c>
    </row>
    <row r="1525">
      <c r="E1525" s="3" t="s">
        <v>9</v>
      </c>
      <c r="F1525" s="3" t="s">
        <v>10</v>
      </c>
    </row>
    <row r="1526">
      <c r="E1526" s="3" t="s">
        <v>9</v>
      </c>
      <c r="F1526" s="3" t="s">
        <v>10</v>
      </c>
    </row>
    <row r="1527">
      <c r="E1527" s="3" t="s">
        <v>9</v>
      </c>
      <c r="F1527" s="3" t="s">
        <v>10</v>
      </c>
    </row>
    <row r="1528">
      <c r="E1528" s="3" t="s">
        <v>9</v>
      </c>
      <c r="F1528" s="3" t="s">
        <v>10</v>
      </c>
    </row>
    <row r="1529">
      <c r="E1529" s="3" t="s">
        <v>9</v>
      </c>
      <c r="F1529" s="3" t="s">
        <v>10</v>
      </c>
    </row>
    <row r="1530">
      <c r="E1530" s="3" t="s">
        <v>9</v>
      </c>
      <c r="F1530" s="3" t="s">
        <v>10</v>
      </c>
    </row>
    <row r="1531">
      <c r="E1531" s="3" t="s">
        <v>9</v>
      </c>
      <c r="F1531" s="3" t="s">
        <v>10</v>
      </c>
    </row>
    <row r="1532">
      <c r="E1532" s="3" t="s">
        <v>9</v>
      </c>
      <c r="F1532" s="3" t="s">
        <v>10</v>
      </c>
    </row>
    <row r="1533">
      <c r="E1533" s="3" t="s">
        <v>9</v>
      </c>
      <c r="F1533" s="3" t="s">
        <v>10</v>
      </c>
    </row>
    <row r="1534">
      <c r="E1534" s="3" t="s">
        <v>9</v>
      </c>
      <c r="F1534" s="3" t="s">
        <v>10</v>
      </c>
    </row>
    <row r="1535">
      <c r="E1535" s="3" t="s">
        <v>9</v>
      </c>
      <c r="F1535" s="3" t="s">
        <v>10</v>
      </c>
    </row>
    <row r="1536">
      <c r="E1536" s="3" t="s">
        <v>9</v>
      </c>
      <c r="F1536" s="3" t="s">
        <v>10</v>
      </c>
    </row>
    <row r="1537">
      <c r="E1537" s="3" t="s">
        <v>9</v>
      </c>
      <c r="F1537" s="3" t="s">
        <v>10</v>
      </c>
    </row>
    <row r="1538">
      <c r="E1538" s="3" t="s">
        <v>9</v>
      </c>
      <c r="F1538" s="3" t="s">
        <v>10</v>
      </c>
    </row>
    <row r="1539">
      <c r="E1539" s="3" t="s">
        <v>9</v>
      </c>
      <c r="F1539" s="3" t="s">
        <v>10</v>
      </c>
    </row>
    <row r="1540">
      <c r="E1540" s="3" t="s">
        <v>9</v>
      </c>
      <c r="F1540" s="3" t="s">
        <v>10</v>
      </c>
    </row>
    <row r="1541">
      <c r="E1541" s="3" t="s">
        <v>9</v>
      </c>
      <c r="F1541" s="3" t="s">
        <v>10</v>
      </c>
    </row>
    <row r="1542">
      <c r="E1542" s="3" t="s">
        <v>9</v>
      </c>
      <c r="F1542" s="3" t="s">
        <v>10</v>
      </c>
    </row>
    <row r="1543">
      <c r="E1543" s="3" t="s">
        <v>9</v>
      </c>
      <c r="F1543" s="3" t="s">
        <v>10</v>
      </c>
    </row>
    <row r="1544">
      <c r="E1544" s="3" t="s">
        <v>9</v>
      </c>
      <c r="F1544" s="3" t="s">
        <v>10</v>
      </c>
    </row>
    <row r="1545">
      <c r="E1545" s="3" t="s">
        <v>9</v>
      </c>
      <c r="F1545" s="3" t="s">
        <v>10</v>
      </c>
    </row>
    <row r="1546">
      <c r="E1546" s="3" t="s">
        <v>9</v>
      </c>
      <c r="F1546" s="3" t="s">
        <v>10</v>
      </c>
    </row>
    <row r="1547">
      <c r="E1547" s="3" t="s">
        <v>9</v>
      </c>
      <c r="F1547" s="3" t="s">
        <v>10</v>
      </c>
    </row>
    <row r="1548">
      <c r="E1548" s="3" t="s">
        <v>9</v>
      </c>
      <c r="F1548" s="3" t="s">
        <v>10</v>
      </c>
    </row>
    <row r="1549">
      <c r="E1549" s="3" t="s">
        <v>9</v>
      </c>
      <c r="F1549" s="3" t="s">
        <v>10</v>
      </c>
    </row>
    <row r="1550">
      <c r="E1550" s="3" t="s">
        <v>9</v>
      </c>
      <c r="F1550" s="3" t="s">
        <v>10</v>
      </c>
    </row>
    <row r="1551">
      <c r="E1551" s="3" t="s">
        <v>9</v>
      </c>
      <c r="F1551" s="3" t="s">
        <v>10</v>
      </c>
    </row>
    <row r="1552">
      <c r="E1552" s="3" t="s">
        <v>9</v>
      </c>
      <c r="F1552" s="3" t="s">
        <v>10</v>
      </c>
    </row>
    <row r="1553">
      <c r="E1553" s="3" t="s">
        <v>9</v>
      </c>
      <c r="F1553" s="3" t="s">
        <v>10</v>
      </c>
    </row>
    <row r="1554">
      <c r="E1554" s="3" t="s">
        <v>9</v>
      </c>
      <c r="F1554" s="3" t="s">
        <v>10</v>
      </c>
    </row>
    <row r="1555">
      <c r="E1555" s="3" t="s">
        <v>9</v>
      </c>
      <c r="F1555" s="3" t="s">
        <v>10</v>
      </c>
    </row>
    <row r="1556">
      <c r="E1556" s="3" t="s">
        <v>9</v>
      </c>
      <c r="F1556" s="3" t="s">
        <v>10</v>
      </c>
    </row>
    <row r="1557">
      <c r="E1557" s="3" t="s">
        <v>9</v>
      </c>
      <c r="F1557" s="3" t="s">
        <v>10</v>
      </c>
    </row>
    <row r="1558">
      <c r="E1558" s="3" t="s">
        <v>9</v>
      </c>
      <c r="F1558" s="3" t="s">
        <v>10</v>
      </c>
    </row>
    <row r="1559">
      <c r="E1559" s="3" t="s">
        <v>9</v>
      </c>
      <c r="F1559" s="3" t="s">
        <v>10</v>
      </c>
    </row>
    <row r="1560">
      <c r="E1560" s="3" t="s">
        <v>9</v>
      </c>
      <c r="F1560" s="3" t="s">
        <v>10</v>
      </c>
    </row>
    <row r="1561">
      <c r="E1561" s="3" t="s">
        <v>9</v>
      </c>
      <c r="F1561" s="3" t="s">
        <v>10</v>
      </c>
    </row>
    <row r="1562">
      <c r="E1562" s="3" t="s">
        <v>9</v>
      </c>
      <c r="F1562" s="3" t="s">
        <v>10</v>
      </c>
    </row>
    <row r="1563">
      <c r="E1563" s="3" t="s">
        <v>9</v>
      </c>
      <c r="F1563" s="3" t="s">
        <v>10</v>
      </c>
    </row>
    <row r="1564">
      <c r="E1564" s="3" t="s">
        <v>9</v>
      </c>
      <c r="F1564" s="3" t="s">
        <v>10</v>
      </c>
    </row>
    <row r="1565">
      <c r="E1565" s="3" t="s">
        <v>9</v>
      </c>
      <c r="F1565" s="3" t="s">
        <v>10</v>
      </c>
    </row>
    <row r="1566">
      <c r="E1566" s="3" t="s">
        <v>9</v>
      </c>
      <c r="F1566" s="3" t="s">
        <v>10</v>
      </c>
    </row>
    <row r="1567">
      <c r="E1567" s="3" t="s">
        <v>9</v>
      </c>
      <c r="F1567" s="3" t="s">
        <v>10</v>
      </c>
    </row>
    <row r="1568">
      <c r="E1568" s="3" t="s">
        <v>9</v>
      </c>
      <c r="F1568" s="3" t="s">
        <v>10</v>
      </c>
    </row>
    <row r="1569">
      <c r="E1569" s="3" t="s">
        <v>9</v>
      </c>
      <c r="F1569" s="3" t="s">
        <v>10</v>
      </c>
    </row>
    <row r="1570">
      <c r="E1570" s="3" t="s">
        <v>9</v>
      </c>
      <c r="F1570" s="3" t="s">
        <v>10</v>
      </c>
    </row>
    <row r="1571">
      <c r="E1571" s="3" t="s">
        <v>9</v>
      </c>
      <c r="F1571" s="3" t="s">
        <v>10</v>
      </c>
    </row>
    <row r="1572">
      <c r="E1572" s="3" t="s">
        <v>9</v>
      </c>
      <c r="F1572" s="3" t="s">
        <v>10</v>
      </c>
    </row>
    <row r="1573">
      <c r="E1573" s="3" t="s">
        <v>9</v>
      </c>
      <c r="F1573" s="3" t="s">
        <v>10</v>
      </c>
    </row>
    <row r="1574">
      <c r="E1574" s="3" t="s">
        <v>9</v>
      </c>
      <c r="F1574" s="3" t="s">
        <v>10</v>
      </c>
    </row>
    <row r="1575">
      <c r="E1575" s="3" t="s">
        <v>9</v>
      </c>
      <c r="F1575" s="3" t="s">
        <v>10</v>
      </c>
    </row>
    <row r="1576">
      <c r="E1576" s="3" t="s">
        <v>9</v>
      </c>
      <c r="F1576" s="3" t="s">
        <v>10</v>
      </c>
    </row>
    <row r="1577">
      <c r="E1577" s="3" t="s">
        <v>9</v>
      </c>
      <c r="F1577" s="3" t="s">
        <v>10</v>
      </c>
    </row>
    <row r="1578">
      <c r="E1578" s="3" t="s">
        <v>9</v>
      </c>
      <c r="F1578" s="3" t="s">
        <v>10</v>
      </c>
    </row>
    <row r="1579">
      <c r="E1579" s="3" t="s">
        <v>9</v>
      </c>
      <c r="F1579" s="3" t="s">
        <v>10</v>
      </c>
    </row>
    <row r="1580">
      <c r="E1580" s="3" t="s">
        <v>9</v>
      </c>
      <c r="F1580" s="3" t="s">
        <v>10</v>
      </c>
    </row>
    <row r="1581">
      <c r="E1581" s="3" t="s">
        <v>9</v>
      </c>
      <c r="F1581" s="3" t="s">
        <v>10</v>
      </c>
    </row>
    <row r="1582">
      <c r="E1582" s="3" t="s">
        <v>9</v>
      </c>
      <c r="F1582" s="3" t="s">
        <v>10</v>
      </c>
    </row>
    <row r="1583">
      <c r="E1583" s="3" t="s">
        <v>9</v>
      </c>
      <c r="F1583" s="3" t="s">
        <v>10</v>
      </c>
    </row>
    <row r="1584">
      <c r="E1584" s="3" t="s">
        <v>9</v>
      </c>
      <c r="F1584" s="3" t="s">
        <v>10</v>
      </c>
    </row>
    <row r="1585">
      <c r="E1585" s="3" t="s">
        <v>9</v>
      </c>
      <c r="F1585" s="3" t="s">
        <v>10</v>
      </c>
    </row>
    <row r="1586">
      <c r="E1586" s="3" t="s">
        <v>9</v>
      </c>
      <c r="F1586" s="3" t="s">
        <v>10</v>
      </c>
    </row>
    <row r="1587">
      <c r="E1587" s="3" t="s">
        <v>9</v>
      </c>
      <c r="F1587" s="3" t="s">
        <v>10</v>
      </c>
    </row>
    <row r="1588">
      <c r="E1588" s="3" t="s">
        <v>9</v>
      </c>
      <c r="F1588" s="3" t="s">
        <v>10</v>
      </c>
    </row>
    <row r="1589">
      <c r="E1589" s="3" t="s">
        <v>9</v>
      </c>
      <c r="F1589" s="3" t="s">
        <v>10</v>
      </c>
    </row>
    <row r="1590">
      <c r="E1590" s="3" t="s">
        <v>9</v>
      </c>
      <c r="F1590" s="3" t="s">
        <v>10</v>
      </c>
    </row>
    <row r="1591">
      <c r="E1591" s="3" t="s">
        <v>9</v>
      </c>
      <c r="F1591" s="3" t="s">
        <v>10</v>
      </c>
    </row>
    <row r="1592">
      <c r="E1592" s="3" t="s">
        <v>9</v>
      </c>
      <c r="F1592" s="3" t="s">
        <v>10</v>
      </c>
    </row>
    <row r="1593">
      <c r="E1593" s="3" t="s">
        <v>9</v>
      </c>
      <c r="F1593" s="3" t="s">
        <v>10</v>
      </c>
    </row>
    <row r="1594">
      <c r="E1594" s="3" t="s">
        <v>9</v>
      </c>
      <c r="F1594" s="3" t="s">
        <v>10</v>
      </c>
    </row>
    <row r="1595">
      <c r="E1595" s="3" t="s">
        <v>9</v>
      </c>
      <c r="F1595" s="3" t="s">
        <v>10</v>
      </c>
    </row>
    <row r="1596">
      <c r="E1596" s="3" t="s">
        <v>9</v>
      </c>
      <c r="F1596" s="3" t="s">
        <v>10</v>
      </c>
    </row>
    <row r="1597">
      <c r="E1597" s="3" t="s">
        <v>9</v>
      </c>
      <c r="F1597" s="3" t="s">
        <v>10</v>
      </c>
    </row>
    <row r="1598">
      <c r="E1598" s="3" t="s">
        <v>9</v>
      </c>
      <c r="F1598" s="3" t="s">
        <v>10</v>
      </c>
    </row>
    <row r="1599">
      <c r="E1599" s="3" t="s">
        <v>9</v>
      </c>
      <c r="F1599" s="3" t="s">
        <v>10</v>
      </c>
    </row>
    <row r="1600">
      <c r="E1600" s="3" t="s">
        <v>9</v>
      </c>
      <c r="F1600" s="3" t="s">
        <v>10</v>
      </c>
    </row>
    <row r="1601">
      <c r="E1601" s="3" t="s">
        <v>9</v>
      </c>
      <c r="F1601" s="3" t="s">
        <v>10</v>
      </c>
    </row>
    <row r="1602">
      <c r="E1602" s="3" t="s">
        <v>9</v>
      </c>
      <c r="F1602" s="3" t="s">
        <v>10</v>
      </c>
    </row>
    <row r="1603">
      <c r="E1603" s="3" t="s">
        <v>9</v>
      </c>
      <c r="F1603" s="3" t="s">
        <v>10</v>
      </c>
    </row>
    <row r="1604">
      <c r="E1604" s="3" t="s">
        <v>9</v>
      </c>
      <c r="F1604" s="3" t="s">
        <v>10</v>
      </c>
    </row>
    <row r="1605">
      <c r="E1605" s="3" t="s">
        <v>9</v>
      </c>
      <c r="F1605" s="3" t="s">
        <v>10</v>
      </c>
    </row>
    <row r="1606">
      <c r="E1606" s="3" t="s">
        <v>9</v>
      </c>
      <c r="F1606" s="3" t="s">
        <v>10</v>
      </c>
    </row>
    <row r="1607">
      <c r="E1607" s="3" t="s">
        <v>9</v>
      </c>
      <c r="F1607" s="3" t="s">
        <v>10</v>
      </c>
    </row>
    <row r="1608">
      <c r="E1608" s="3" t="s">
        <v>9</v>
      </c>
      <c r="F1608" s="3" t="s">
        <v>10</v>
      </c>
    </row>
    <row r="1609">
      <c r="E1609" s="3" t="s">
        <v>9</v>
      </c>
      <c r="F1609" s="3" t="s">
        <v>10</v>
      </c>
    </row>
    <row r="1610">
      <c r="E1610" s="3" t="s">
        <v>9</v>
      </c>
      <c r="F1610" s="3" t="s">
        <v>10</v>
      </c>
    </row>
    <row r="1611">
      <c r="E1611" s="3" t="s">
        <v>9</v>
      </c>
      <c r="F1611" s="3" t="s">
        <v>10</v>
      </c>
    </row>
    <row r="1612">
      <c r="E1612" s="3" t="s">
        <v>9</v>
      </c>
      <c r="F1612" s="3" t="s">
        <v>10</v>
      </c>
    </row>
    <row r="1613">
      <c r="E1613" s="3" t="s">
        <v>9</v>
      </c>
      <c r="F1613" s="3" t="s">
        <v>10</v>
      </c>
    </row>
    <row r="1614">
      <c r="E1614" s="3" t="s">
        <v>9</v>
      </c>
      <c r="F1614" s="3" t="s">
        <v>10</v>
      </c>
    </row>
    <row r="1615">
      <c r="E1615" s="3" t="s">
        <v>9</v>
      </c>
      <c r="F1615" s="3" t="s">
        <v>10</v>
      </c>
    </row>
    <row r="1616">
      <c r="E1616" s="3" t="s">
        <v>9</v>
      </c>
      <c r="F1616" s="3" t="s">
        <v>10</v>
      </c>
    </row>
    <row r="1617">
      <c r="E1617" s="3" t="s">
        <v>9</v>
      </c>
      <c r="F1617" s="3" t="s">
        <v>10</v>
      </c>
    </row>
    <row r="1618">
      <c r="E1618" s="3" t="s">
        <v>9</v>
      </c>
      <c r="F1618" s="3" t="s">
        <v>10</v>
      </c>
    </row>
    <row r="1619">
      <c r="E1619" s="3" t="s">
        <v>9</v>
      </c>
      <c r="F1619" s="3" t="s">
        <v>10</v>
      </c>
    </row>
    <row r="1620">
      <c r="E1620" s="3" t="s">
        <v>9</v>
      </c>
      <c r="F1620" s="3" t="s">
        <v>10</v>
      </c>
    </row>
    <row r="1621">
      <c r="E1621" s="3" t="s">
        <v>9</v>
      </c>
      <c r="F1621" s="3" t="s">
        <v>10</v>
      </c>
    </row>
    <row r="1622">
      <c r="E1622" s="3" t="s">
        <v>9</v>
      </c>
      <c r="F1622" s="3" t="s">
        <v>10</v>
      </c>
    </row>
    <row r="1623">
      <c r="E1623" s="3" t="s">
        <v>9</v>
      </c>
      <c r="F1623" s="3" t="s">
        <v>10</v>
      </c>
    </row>
    <row r="1624">
      <c r="E1624" s="3" t="s">
        <v>9</v>
      </c>
      <c r="F1624" s="3" t="s">
        <v>10</v>
      </c>
    </row>
    <row r="1625">
      <c r="E1625" s="3" t="s">
        <v>9</v>
      </c>
      <c r="F1625" s="3" t="s">
        <v>10</v>
      </c>
    </row>
    <row r="1626">
      <c r="E1626" s="3" t="s">
        <v>9</v>
      </c>
      <c r="F1626" s="3" t="s">
        <v>10</v>
      </c>
    </row>
    <row r="1627">
      <c r="E1627" s="3" t="s">
        <v>9</v>
      </c>
      <c r="F1627" s="3" t="s">
        <v>10</v>
      </c>
    </row>
    <row r="1628">
      <c r="E1628" s="3" t="s">
        <v>9</v>
      </c>
      <c r="F1628" s="3" t="s">
        <v>10</v>
      </c>
    </row>
    <row r="1629">
      <c r="E1629" s="3" t="s">
        <v>9</v>
      </c>
      <c r="F1629" s="3" t="s">
        <v>10</v>
      </c>
    </row>
    <row r="1630">
      <c r="E1630" s="3" t="s">
        <v>9</v>
      </c>
      <c r="F1630" s="3" t="s">
        <v>10</v>
      </c>
    </row>
    <row r="1631">
      <c r="E1631" s="3" t="s">
        <v>9</v>
      </c>
      <c r="F1631" s="3" t="s">
        <v>10</v>
      </c>
    </row>
    <row r="1632">
      <c r="E1632" s="3" t="s">
        <v>9</v>
      </c>
      <c r="F1632" s="3" t="s">
        <v>10</v>
      </c>
    </row>
    <row r="1633">
      <c r="E1633" s="3" t="s">
        <v>9</v>
      </c>
      <c r="F1633" s="3" t="s">
        <v>10</v>
      </c>
    </row>
    <row r="1634">
      <c r="E1634" s="3" t="s">
        <v>9</v>
      </c>
      <c r="F1634" s="3" t="s">
        <v>10</v>
      </c>
    </row>
    <row r="1635">
      <c r="E1635" s="3" t="s">
        <v>9</v>
      </c>
      <c r="F1635" s="3" t="s">
        <v>10</v>
      </c>
    </row>
    <row r="1636">
      <c r="E1636" s="3" t="s">
        <v>9</v>
      </c>
      <c r="F1636" s="3" t="s">
        <v>10</v>
      </c>
    </row>
    <row r="1637">
      <c r="E1637" s="3" t="s">
        <v>9</v>
      </c>
      <c r="F1637" s="3" t="s">
        <v>10</v>
      </c>
    </row>
    <row r="1638">
      <c r="E1638" s="3" t="s">
        <v>9</v>
      </c>
      <c r="F1638" s="3" t="s">
        <v>10</v>
      </c>
    </row>
    <row r="1639">
      <c r="E1639" s="3" t="s">
        <v>9</v>
      </c>
      <c r="F1639" s="3" t="s">
        <v>10</v>
      </c>
    </row>
    <row r="1640">
      <c r="E1640" s="3" t="s">
        <v>9</v>
      </c>
      <c r="F1640" s="3" t="s">
        <v>10</v>
      </c>
    </row>
    <row r="1641">
      <c r="E1641" s="3" t="s">
        <v>9</v>
      </c>
      <c r="F1641" s="3" t="s">
        <v>10</v>
      </c>
    </row>
    <row r="1642">
      <c r="E1642" s="3" t="s">
        <v>9</v>
      </c>
      <c r="F1642" s="3" t="s">
        <v>10</v>
      </c>
    </row>
    <row r="1643">
      <c r="E1643" s="3" t="s">
        <v>9</v>
      </c>
      <c r="F1643" s="3" t="s">
        <v>10</v>
      </c>
    </row>
    <row r="1644">
      <c r="E1644" s="3" t="s">
        <v>9</v>
      </c>
      <c r="F1644" s="3" t="s">
        <v>10</v>
      </c>
    </row>
    <row r="1645">
      <c r="E1645" s="3" t="s">
        <v>9</v>
      </c>
      <c r="F1645" s="3" t="s">
        <v>10</v>
      </c>
    </row>
    <row r="1646">
      <c r="E1646" s="3" t="s">
        <v>9</v>
      </c>
      <c r="F1646" s="3" t="s">
        <v>10</v>
      </c>
    </row>
    <row r="1647">
      <c r="E1647" s="3" t="s">
        <v>9</v>
      </c>
      <c r="F1647" s="3" t="s">
        <v>10</v>
      </c>
    </row>
    <row r="1648">
      <c r="E1648" s="3" t="s">
        <v>9</v>
      </c>
      <c r="F1648" s="3" t="s">
        <v>10</v>
      </c>
    </row>
    <row r="1649">
      <c r="E1649" s="3" t="s">
        <v>9</v>
      </c>
      <c r="F1649" s="3" t="s">
        <v>10</v>
      </c>
    </row>
    <row r="1650">
      <c r="E1650" s="3" t="s">
        <v>9</v>
      </c>
      <c r="F1650" s="3" t="s">
        <v>10</v>
      </c>
    </row>
    <row r="1651">
      <c r="E1651" s="3" t="s">
        <v>9</v>
      </c>
      <c r="F1651" s="3" t="s">
        <v>10</v>
      </c>
    </row>
    <row r="1652">
      <c r="E1652" s="3" t="s">
        <v>9</v>
      </c>
      <c r="F1652" s="3" t="s">
        <v>10</v>
      </c>
    </row>
    <row r="1653">
      <c r="E1653" s="3" t="s">
        <v>9</v>
      </c>
      <c r="F1653" s="3" t="s">
        <v>10</v>
      </c>
    </row>
    <row r="1654">
      <c r="E1654" s="3" t="s">
        <v>9</v>
      </c>
      <c r="F1654" s="3" t="s">
        <v>10</v>
      </c>
    </row>
    <row r="1655">
      <c r="E1655" s="3" t="s">
        <v>9</v>
      </c>
      <c r="F1655" s="3" t="s">
        <v>10</v>
      </c>
    </row>
    <row r="1656">
      <c r="E1656" s="3" t="s">
        <v>9</v>
      </c>
      <c r="F1656" s="3" t="s">
        <v>10</v>
      </c>
    </row>
    <row r="1657">
      <c r="E1657" s="3" t="s">
        <v>9</v>
      </c>
      <c r="F1657" s="3" t="s">
        <v>10</v>
      </c>
    </row>
    <row r="1658">
      <c r="E1658" s="3" t="s">
        <v>9</v>
      </c>
      <c r="F1658" s="3" t="s">
        <v>10</v>
      </c>
    </row>
    <row r="1659">
      <c r="E1659" s="3" t="s">
        <v>9</v>
      </c>
      <c r="F1659" s="3" t="s">
        <v>10</v>
      </c>
    </row>
    <row r="1660">
      <c r="E1660" s="3" t="s">
        <v>9</v>
      </c>
      <c r="F1660" s="3" t="s">
        <v>10</v>
      </c>
    </row>
    <row r="1661">
      <c r="E1661" s="3" t="s">
        <v>9</v>
      </c>
      <c r="F1661" s="3" t="s">
        <v>10</v>
      </c>
    </row>
    <row r="1662">
      <c r="E1662" s="3" t="s">
        <v>9</v>
      </c>
      <c r="F1662" s="3" t="s">
        <v>10</v>
      </c>
    </row>
    <row r="1663">
      <c r="E1663" s="3" t="s">
        <v>9</v>
      </c>
      <c r="F1663" s="3" t="s">
        <v>10</v>
      </c>
    </row>
    <row r="1664">
      <c r="E1664" s="3" t="s">
        <v>9</v>
      </c>
      <c r="F1664" s="3" t="s">
        <v>10</v>
      </c>
    </row>
    <row r="1665">
      <c r="E1665" s="3" t="s">
        <v>9</v>
      </c>
      <c r="F1665" s="3" t="s">
        <v>10</v>
      </c>
    </row>
    <row r="1666">
      <c r="E1666" s="3" t="s">
        <v>9</v>
      </c>
      <c r="F1666" s="3" t="s">
        <v>10</v>
      </c>
    </row>
    <row r="1667">
      <c r="E1667" s="3" t="s">
        <v>9</v>
      </c>
      <c r="F1667" s="3" t="s">
        <v>10</v>
      </c>
    </row>
    <row r="1668">
      <c r="E1668" s="3" t="s">
        <v>9</v>
      </c>
      <c r="F1668" s="3" t="s">
        <v>10</v>
      </c>
    </row>
    <row r="1669">
      <c r="E1669" s="3" t="s">
        <v>9</v>
      </c>
      <c r="F1669" s="3" t="s">
        <v>10</v>
      </c>
    </row>
    <row r="1670">
      <c r="E1670" s="3" t="s">
        <v>9</v>
      </c>
      <c r="F1670" s="3" t="s">
        <v>10</v>
      </c>
    </row>
    <row r="1671">
      <c r="E1671" s="3" t="s">
        <v>9</v>
      </c>
      <c r="F1671" s="3" t="s">
        <v>10</v>
      </c>
    </row>
    <row r="1672">
      <c r="E1672" s="3" t="s">
        <v>9</v>
      </c>
      <c r="F1672" s="3" t="s">
        <v>10</v>
      </c>
    </row>
    <row r="1673">
      <c r="E1673" s="3" t="s">
        <v>9</v>
      </c>
      <c r="F1673" s="3" t="s">
        <v>10</v>
      </c>
    </row>
    <row r="1674">
      <c r="E1674" s="3" t="s">
        <v>9</v>
      </c>
      <c r="F1674" s="3" t="s">
        <v>10</v>
      </c>
    </row>
    <row r="1675">
      <c r="E1675" s="3" t="s">
        <v>9</v>
      </c>
      <c r="F1675" s="3" t="s">
        <v>10</v>
      </c>
    </row>
    <row r="1676">
      <c r="E1676" s="3" t="s">
        <v>9</v>
      </c>
      <c r="F1676" s="3" t="s">
        <v>10</v>
      </c>
    </row>
    <row r="1677">
      <c r="E1677" s="3" t="s">
        <v>9</v>
      </c>
      <c r="F1677" s="3" t="s">
        <v>10</v>
      </c>
    </row>
    <row r="1678">
      <c r="E1678" s="3" t="s">
        <v>9</v>
      </c>
      <c r="F1678" s="3" t="s">
        <v>10</v>
      </c>
    </row>
    <row r="1679">
      <c r="E1679" s="3" t="s">
        <v>9</v>
      </c>
      <c r="F1679" s="3" t="s">
        <v>10</v>
      </c>
    </row>
    <row r="1680">
      <c r="E1680" s="3" t="s">
        <v>9</v>
      </c>
      <c r="F1680" s="3" t="s">
        <v>10</v>
      </c>
    </row>
    <row r="1681">
      <c r="E1681" s="3" t="s">
        <v>9</v>
      </c>
      <c r="F1681" s="3" t="s">
        <v>10</v>
      </c>
    </row>
    <row r="1682">
      <c r="E1682" s="3" t="s">
        <v>9</v>
      </c>
      <c r="F1682" s="3" t="s">
        <v>10</v>
      </c>
    </row>
    <row r="1683">
      <c r="E1683" s="3" t="s">
        <v>9</v>
      </c>
      <c r="F1683" s="3" t="s">
        <v>10</v>
      </c>
    </row>
    <row r="1684">
      <c r="E1684" s="3" t="s">
        <v>9</v>
      </c>
      <c r="F1684" s="3" t="s">
        <v>10</v>
      </c>
    </row>
    <row r="1685">
      <c r="E1685" s="3" t="s">
        <v>9</v>
      </c>
      <c r="F1685" s="3" t="s">
        <v>10</v>
      </c>
    </row>
    <row r="1686">
      <c r="E1686" s="3" t="s">
        <v>9</v>
      </c>
      <c r="F1686" s="3" t="s">
        <v>10</v>
      </c>
    </row>
    <row r="1687">
      <c r="E1687" s="3" t="s">
        <v>9</v>
      </c>
      <c r="F1687" s="3" t="s">
        <v>10</v>
      </c>
    </row>
    <row r="1688">
      <c r="E1688" s="3" t="s">
        <v>9</v>
      </c>
      <c r="F1688" s="3" t="s">
        <v>10</v>
      </c>
    </row>
    <row r="1689">
      <c r="E1689" s="3" t="s">
        <v>9</v>
      </c>
      <c r="F1689" s="3" t="s">
        <v>10</v>
      </c>
    </row>
    <row r="1690">
      <c r="E1690" s="3" t="s">
        <v>9</v>
      </c>
      <c r="F1690" s="3" t="s">
        <v>10</v>
      </c>
    </row>
    <row r="1691">
      <c r="E1691" s="3" t="s">
        <v>9</v>
      </c>
      <c r="F1691" s="3" t="s">
        <v>10</v>
      </c>
    </row>
    <row r="1692">
      <c r="E1692" s="3" t="s">
        <v>9</v>
      </c>
      <c r="F1692" s="3" t="s">
        <v>10</v>
      </c>
    </row>
    <row r="1693">
      <c r="E1693" s="3" t="s">
        <v>9</v>
      </c>
      <c r="F1693" s="3" t="s">
        <v>10</v>
      </c>
    </row>
    <row r="1694">
      <c r="E1694" s="3" t="s">
        <v>9</v>
      </c>
      <c r="F1694" s="3" t="s">
        <v>10</v>
      </c>
    </row>
    <row r="1695">
      <c r="E1695" s="3" t="s">
        <v>9</v>
      </c>
      <c r="F1695" s="3" t="s">
        <v>10</v>
      </c>
    </row>
    <row r="1696">
      <c r="E1696" s="3" t="s">
        <v>9</v>
      </c>
      <c r="F1696" s="3" t="s">
        <v>10</v>
      </c>
    </row>
    <row r="1697">
      <c r="E1697" s="3" t="s">
        <v>9</v>
      </c>
      <c r="F1697" s="3" t="s">
        <v>10</v>
      </c>
    </row>
    <row r="1698">
      <c r="E1698" s="3" t="s">
        <v>9</v>
      </c>
      <c r="F1698" s="3" t="s">
        <v>10</v>
      </c>
    </row>
    <row r="1699">
      <c r="E1699" s="3" t="s">
        <v>9</v>
      </c>
      <c r="F1699" s="3" t="s">
        <v>10</v>
      </c>
    </row>
    <row r="1700">
      <c r="E1700" s="3" t="s">
        <v>9</v>
      </c>
      <c r="F1700" s="3" t="s">
        <v>10</v>
      </c>
    </row>
    <row r="1701">
      <c r="E1701" s="3" t="s">
        <v>9</v>
      </c>
      <c r="F1701" s="3" t="s">
        <v>10</v>
      </c>
    </row>
    <row r="1702">
      <c r="E1702" s="3" t="s">
        <v>9</v>
      </c>
      <c r="F1702" s="3" t="s">
        <v>10</v>
      </c>
    </row>
    <row r="1703">
      <c r="E1703" s="3" t="s">
        <v>9</v>
      </c>
      <c r="F1703" s="3" t="s">
        <v>10</v>
      </c>
    </row>
    <row r="1704">
      <c r="E1704" s="3" t="s">
        <v>9</v>
      </c>
      <c r="F1704" s="3" t="s">
        <v>10</v>
      </c>
    </row>
    <row r="1705">
      <c r="E1705" s="3" t="s">
        <v>9</v>
      </c>
      <c r="F1705" s="3" t="s">
        <v>10</v>
      </c>
    </row>
    <row r="1706">
      <c r="E1706" s="3" t="s">
        <v>9</v>
      </c>
      <c r="F1706" s="3" t="s">
        <v>10</v>
      </c>
    </row>
    <row r="1707">
      <c r="E1707" s="3" t="s">
        <v>9</v>
      </c>
      <c r="F1707" s="3" t="s">
        <v>10</v>
      </c>
    </row>
    <row r="1708">
      <c r="E1708" s="3" t="s">
        <v>9</v>
      </c>
      <c r="F1708" s="3" t="s">
        <v>10</v>
      </c>
    </row>
    <row r="1709">
      <c r="E1709" s="3" t="s">
        <v>9</v>
      </c>
      <c r="F1709" s="3" t="s">
        <v>10</v>
      </c>
    </row>
    <row r="1710">
      <c r="E1710" s="3" t="s">
        <v>9</v>
      </c>
      <c r="F1710" s="3" t="s">
        <v>10</v>
      </c>
    </row>
    <row r="1711">
      <c r="E1711" s="3" t="s">
        <v>9</v>
      </c>
      <c r="F1711" s="3" t="s">
        <v>10</v>
      </c>
    </row>
    <row r="1712">
      <c r="E1712" s="3" t="s">
        <v>9</v>
      </c>
      <c r="F1712" s="3" t="s">
        <v>10</v>
      </c>
    </row>
    <row r="1713">
      <c r="E1713" s="3" t="s">
        <v>9</v>
      </c>
      <c r="F1713" s="3" t="s">
        <v>10</v>
      </c>
    </row>
    <row r="1714">
      <c r="E1714" s="3" t="s">
        <v>9</v>
      </c>
      <c r="F1714" s="3" t="s">
        <v>10</v>
      </c>
    </row>
    <row r="1715">
      <c r="E1715" s="3" t="s">
        <v>9</v>
      </c>
      <c r="F1715" s="3" t="s">
        <v>10</v>
      </c>
    </row>
    <row r="1716">
      <c r="E1716" s="3" t="s">
        <v>9</v>
      </c>
      <c r="F1716" s="3" t="s">
        <v>10</v>
      </c>
    </row>
    <row r="1717">
      <c r="E1717" s="3" t="s">
        <v>9</v>
      </c>
      <c r="F1717" s="3" t="s">
        <v>10</v>
      </c>
    </row>
    <row r="1718">
      <c r="E1718" s="3" t="s">
        <v>9</v>
      </c>
      <c r="F1718" s="3" t="s">
        <v>10</v>
      </c>
    </row>
    <row r="1719">
      <c r="E1719" s="3" t="s">
        <v>9</v>
      </c>
      <c r="F1719" s="3" t="s">
        <v>10</v>
      </c>
    </row>
    <row r="1720">
      <c r="E1720" s="3" t="s">
        <v>9</v>
      </c>
      <c r="F1720" s="3" t="s">
        <v>10</v>
      </c>
    </row>
    <row r="1721">
      <c r="E1721" s="3" t="s">
        <v>9</v>
      </c>
      <c r="F1721" s="3" t="s">
        <v>10</v>
      </c>
    </row>
    <row r="1722">
      <c r="E1722" s="3" t="s">
        <v>9</v>
      </c>
      <c r="F1722" s="3" t="s">
        <v>10</v>
      </c>
    </row>
    <row r="1723">
      <c r="E1723" s="3" t="s">
        <v>9</v>
      </c>
      <c r="F1723" s="3" t="s">
        <v>10</v>
      </c>
    </row>
    <row r="1724">
      <c r="E1724" s="3" t="s">
        <v>9</v>
      </c>
      <c r="F1724" s="3" t="s">
        <v>10</v>
      </c>
    </row>
    <row r="1725">
      <c r="E1725" s="3" t="s">
        <v>9</v>
      </c>
      <c r="F1725" s="3" t="s">
        <v>10</v>
      </c>
    </row>
    <row r="1726">
      <c r="E1726" s="3" t="s">
        <v>9</v>
      </c>
      <c r="F1726" s="3" t="s">
        <v>10</v>
      </c>
    </row>
    <row r="1727">
      <c r="E1727" s="3" t="s">
        <v>9</v>
      </c>
      <c r="F1727" s="3" t="s">
        <v>10</v>
      </c>
    </row>
    <row r="1728">
      <c r="E1728" s="3" t="s">
        <v>9</v>
      </c>
      <c r="F1728" s="3" t="s">
        <v>10</v>
      </c>
    </row>
    <row r="1729">
      <c r="E1729" s="3" t="s">
        <v>9</v>
      </c>
      <c r="F1729" s="3" t="s">
        <v>10</v>
      </c>
    </row>
    <row r="1730">
      <c r="E1730" s="3" t="s">
        <v>9</v>
      </c>
      <c r="F1730" s="3" t="s">
        <v>10</v>
      </c>
    </row>
    <row r="1731">
      <c r="E1731" s="3" t="s">
        <v>9</v>
      </c>
      <c r="F1731" s="3" t="s">
        <v>10</v>
      </c>
    </row>
    <row r="1732">
      <c r="E1732" s="3" t="s">
        <v>9</v>
      </c>
      <c r="F1732" s="3" t="s">
        <v>10</v>
      </c>
    </row>
    <row r="1733">
      <c r="E1733" s="3" t="s">
        <v>9</v>
      </c>
      <c r="F1733" s="3" t="s">
        <v>10</v>
      </c>
    </row>
    <row r="1734">
      <c r="E1734" s="3" t="s">
        <v>9</v>
      </c>
      <c r="F1734" s="3" t="s">
        <v>10</v>
      </c>
    </row>
    <row r="1735">
      <c r="E1735" s="3" t="s">
        <v>9</v>
      </c>
      <c r="F1735" s="3" t="s">
        <v>10</v>
      </c>
    </row>
    <row r="1736">
      <c r="E1736" s="3" t="s">
        <v>9</v>
      </c>
      <c r="F1736" s="3" t="s">
        <v>10</v>
      </c>
    </row>
    <row r="1737">
      <c r="E1737" s="3" t="s">
        <v>9</v>
      </c>
      <c r="F1737" s="3" t="s">
        <v>10</v>
      </c>
    </row>
    <row r="1738">
      <c r="E1738" s="3" t="s">
        <v>9</v>
      </c>
      <c r="F1738" s="3" t="s">
        <v>10</v>
      </c>
    </row>
    <row r="1739">
      <c r="E1739" s="3" t="s">
        <v>9</v>
      </c>
      <c r="F1739" s="3" t="s">
        <v>10</v>
      </c>
    </row>
    <row r="1740">
      <c r="E1740" s="3" t="s">
        <v>9</v>
      </c>
      <c r="F1740" s="3" t="s">
        <v>10</v>
      </c>
    </row>
    <row r="1741">
      <c r="E1741" s="3" t="s">
        <v>9</v>
      </c>
      <c r="F1741" s="3" t="s">
        <v>10</v>
      </c>
    </row>
    <row r="1742">
      <c r="E1742" s="3" t="s">
        <v>9</v>
      </c>
      <c r="F1742" s="3" t="s">
        <v>10</v>
      </c>
    </row>
    <row r="1743">
      <c r="E1743" s="3" t="s">
        <v>9</v>
      </c>
      <c r="F1743" s="3" t="s">
        <v>10</v>
      </c>
    </row>
    <row r="1744">
      <c r="E1744" s="3" t="s">
        <v>9</v>
      </c>
      <c r="F1744" s="3" t="s">
        <v>10</v>
      </c>
    </row>
    <row r="1745">
      <c r="E1745" s="3" t="s">
        <v>9</v>
      </c>
      <c r="F1745" s="3" t="s">
        <v>10</v>
      </c>
    </row>
    <row r="1746">
      <c r="E1746" s="3" t="s">
        <v>9</v>
      </c>
      <c r="F1746" s="3" t="s">
        <v>10</v>
      </c>
    </row>
    <row r="1747">
      <c r="E1747" s="3" t="s">
        <v>9</v>
      </c>
      <c r="F1747" s="3" t="s">
        <v>10</v>
      </c>
    </row>
    <row r="1748">
      <c r="E1748" s="3" t="s">
        <v>9</v>
      </c>
      <c r="F1748" s="3" t="s">
        <v>10</v>
      </c>
    </row>
    <row r="1749">
      <c r="E1749" s="3" t="s">
        <v>9</v>
      </c>
      <c r="F1749" s="3" t="s">
        <v>10</v>
      </c>
    </row>
    <row r="1750">
      <c r="E1750" s="3" t="s">
        <v>9</v>
      </c>
      <c r="F1750" s="3" t="s">
        <v>10</v>
      </c>
    </row>
    <row r="1751">
      <c r="E1751" s="3" t="s">
        <v>9</v>
      </c>
      <c r="F1751" s="3" t="s">
        <v>10</v>
      </c>
    </row>
    <row r="1752">
      <c r="E1752" s="3" t="s">
        <v>9</v>
      </c>
      <c r="F1752" s="3" t="s">
        <v>10</v>
      </c>
    </row>
    <row r="1753">
      <c r="E1753" s="3" t="s">
        <v>9</v>
      </c>
      <c r="F1753" s="3" t="s">
        <v>10</v>
      </c>
    </row>
    <row r="1754">
      <c r="E1754" s="3" t="s">
        <v>9</v>
      </c>
      <c r="F1754" s="3" t="s">
        <v>10</v>
      </c>
    </row>
    <row r="1755">
      <c r="E1755" s="3" t="s">
        <v>9</v>
      </c>
      <c r="F1755" s="3" t="s">
        <v>10</v>
      </c>
    </row>
    <row r="1756">
      <c r="E1756" s="3" t="s">
        <v>9</v>
      </c>
      <c r="F1756" s="3" t="s">
        <v>10</v>
      </c>
    </row>
    <row r="1757">
      <c r="E1757" s="3" t="s">
        <v>9</v>
      </c>
      <c r="F1757" s="3" t="s">
        <v>10</v>
      </c>
    </row>
    <row r="1758">
      <c r="E1758" s="3" t="s">
        <v>9</v>
      </c>
      <c r="F1758" s="3" t="s">
        <v>10</v>
      </c>
    </row>
    <row r="1759">
      <c r="E1759" s="3" t="s">
        <v>9</v>
      </c>
      <c r="F1759" s="3" t="s">
        <v>10</v>
      </c>
    </row>
    <row r="1760">
      <c r="E1760" s="3" t="s">
        <v>9</v>
      </c>
      <c r="F1760" s="3" t="s">
        <v>10</v>
      </c>
    </row>
    <row r="1761">
      <c r="E1761" s="3" t="s">
        <v>9</v>
      </c>
      <c r="F1761" s="3" t="s">
        <v>10</v>
      </c>
    </row>
    <row r="1762">
      <c r="E1762" s="3" t="s">
        <v>9</v>
      </c>
      <c r="F1762" s="3" t="s">
        <v>10</v>
      </c>
    </row>
    <row r="1763">
      <c r="E1763" s="3" t="s">
        <v>9</v>
      </c>
      <c r="F1763" s="3" t="s">
        <v>10</v>
      </c>
    </row>
    <row r="1764">
      <c r="E1764" s="3" t="s">
        <v>9</v>
      </c>
      <c r="F1764" s="3" t="s">
        <v>10</v>
      </c>
    </row>
    <row r="1765">
      <c r="E1765" s="3" t="s">
        <v>9</v>
      </c>
      <c r="F1765" s="3" t="s">
        <v>10</v>
      </c>
    </row>
    <row r="1766">
      <c r="E1766" s="3" t="s">
        <v>9</v>
      </c>
      <c r="F1766" s="3" t="s">
        <v>10</v>
      </c>
    </row>
    <row r="1767">
      <c r="E1767" s="3" t="s">
        <v>9</v>
      </c>
      <c r="F1767" s="3" t="s">
        <v>10</v>
      </c>
    </row>
    <row r="1768">
      <c r="E1768" s="3" t="s">
        <v>9</v>
      </c>
      <c r="F1768" s="3" t="s">
        <v>10</v>
      </c>
    </row>
    <row r="1769">
      <c r="E1769" s="3" t="s">
        <v>9</v>
      </c>
      <c r="F1769" s="3" t="s">
        <v>10</v>
      </c>
    </row>
    <row r="1770">
      <c r="E1770" s="3" t="s">
        <v>9</v>
      </c>
      <c r="F1770" s="3" t="s">
        <v>10</v>
      </c>
    </row>
    <row r="1771">
      <c r="E1771" s="3" t="s">
        <v>9</v>
      </c>
      <c r="F1771" s="3" t="s">
        <v>10</v>
      </c>
    </row>
    <row r="1772">
      <c r="E1772" s="3" t="s">
        <v>9</v>
      </c>
      <c r="F1772" s="3" t="s">
        <v>10</v>
      </c>
    </row>
    <row r="1773">
      <c r="E1773" s="3" t="s">
        <v>9</v>
      </c>
      <c r="F1773" s="3" t="s">
        <v>10</v>
      </c>
    </row>
    <row r="1774">
      <c r="E1774" s="3" t="s">
        <v>9</v>
      </c>
      <c r="F1774" s="3" t="s">
        <v>10</v>
      </c>
    </row>
    <row r="1775">
      <c r="E1775" s="3" t="s">
        <v>9</v>
      </c>
      <c r="F1775" s="3" t="s">
        <v>10</v>
      </c>
    </row>
    <row r="1776">
      <c r="E1776" s="3" t="s">
        <v>9</v>
      </c>
      <c r="F1776" s="3" t="s">
        <v>10</v>
      </c>
    </row>
    <row r="1777">
      <c r="E1777" s="3" t="s">
        <v>9</v>
      </c>
      <c r="F1777" s="3" t="s">
        <v>10</v>
      </c>
    </row>
    <row r="1778">
      <c r="E1778" s="3" t="s">
        <v>9</v>
      </c>
      <c r="F1778" s="3" t="s">
        <v>10</v>
      </c>
    </row>
    <row r="1779">
      <c r="E1779" s="3" t="s">
        <v>9</v>
      </c>
      <c r="F1779" s="3" t="s">
        <v>10</v>
      </c>
    </row>
    <row r="1780">
      <c r="E1780" s="3" t="s">
        <v>9</v>
      </c>
      <c r="F1780" s="3" t="s">
        <v>10</v>
      </c>
    </row>
    <row r="1781">
      <c r="E1781" s="3" t="s">
        <v>9</v>
      </c>
      <c r="F1781" s="3" t="s">
        <v>10</v>
      </c>
    </row>
    <row r="1782">
      <c r="E1782" s="3" t="s">
        <v>9</v>
      </c>
      <c r="F1782" s="3" t="s">
        <v>10</v>
      </c>
    </row>
    <row r="1783">
      <c r="E1783" s="3" t="s">
        <v>9</v>
      </c>
      <c r="F1783" s="3" t="s">
        <v>10</v>
      </c>
    </row>
    <row r="1784">
      <c r="E1784" s="3" t="s">
        <v>9</v>
      </c>
      <c r="F1784" s="3" t="s">
        <v>10</v>
      </c>
    </row>
    <row r="1785">
      <c r="E1785" s="3" t="s">
        <v>9</v>
      </c>
      <c r="F1785" s="3" t="s">
        <v>10</v>
      </c>
    </row>
    <row r="1786">
      <c r="E1786" s="3" t="s">
        <v>9</v>
      </c>
      <c r="F1786" s="3" t="s">
        <v>10</v>
      </c>
    </row>
    <row r="1787">
      <c r="E1787" s="3" t="s">
        <v>9</v>
      </c>
      <c r="F1787" s="3" t="s">
        <v>10</v>
      </c>
    </row>
    <row r="1788">
      <c r="E1788" s="3" t="s">
        <v>9</v>
      </c>
      <c r="F1788" s="3" t="s">
        <v>10</v>
      </c>
    </row>
    <row r="1789">
      <c r="E1789" s="3" t="s">
        <v>9</v>
      </c>
      <c r="F1789" s="3" t="s">
        <v>10</v>
      </c>
    </row>
    <row r="1790">
      <c r="E1790" s="3" t="s">
        <v>9</v>
      </c>
      <c r="F1790" s="3" t="s">
        <v>10</v>
      </c>
    </row>
    <row r="1791">
      <c r="E1791" s="3" t="s">
        <v>9</v>
      </c>
      <c r="F1791" s="3" t="s">
        <v>10</v>
      </c>
    </row>
    <row r="1792">
      <c r="E1792" s="3" t="s">
        <v>9</v>
      </c>
      <c r="F1792" s="3" t="s">
        <v>10</v>
      </c>
    </row>
    <row r="1793">
      <c r="E1793" s="3" t="s">
        <v>9</v>
      </c>
      <c r="F1793" s="3" t="s">
        <v>10</v>
      </c>
    </row>
    <row r="1794">
      <c r="E1794" s="3" t="s">
        <v>9</v>
      </c>
      <c r="F1794" s="3" t="s">
        <v>10</v>
      </c>
    </row>
    <row r="1795">
      <c r="E1795" s="3" t="s">
        <v>9</v>
      </c>
      <c r="F1795" s="3" t="s">
        <v>10</v>
      </c>
    </row>
    <row r="1796">
      <c r="E1796" s="3" t="s">
        <v>9</v>
      </c>
      <c r="F1796" s="3" t="s">
        <v>10</v>
      </c>
    </row>
    <row r="1797">
      <c r="E1797" s="3" t="s">
        <v>9</v>
      </c>
      <c r="F1797" s="3" t="s">
        <v>10</v>
      </c>
    </row>
    <row r="1798">
      <c r="E1798" s="3" t="s">
        <v>9</v>
      </c>
      <c r="F1798" s="3" t="s">
        <v>10</v>
      </c>
    </row>
    <row r="1799">
      <c r="E1799" s="3" t="s">
        <v>9</v>
      </c>
      <c r="F1799" s="3" t="s">
        <v>10</v>
      </c>
    </row>
    <row r="1800">
      <c r="E1800" s="3" t="s">
        <v>9</v>
      </c>
      <c r="F1800" s="3" t="s">
        <v>10</v>
      </c>
    </row>
    <row r="1801">
      <c r="E1801" s="3" t="s">
        <v>9</v>
      </c>
      <c r="F1801" s="3" t="s">
        <v>10</v>
      </c>
    </row>
    <row r="1802">
      <c r="E1802" s="3" t="s">
        <v>9</v>
      </c>
      <c r="F1802" s="3" t="s">
        <v>10</v>
      </c>
    </row>
    <row r="1803">
      <c r="E1803" s="3" t="s">
        <v>9</v>
      </c>
      <c r="F1803" s="3" t="s">
        <v>10</v>
      </c>
    </row>
    <row r="1804">
      <c r="E1804" s="3" t="s">
        <v>9</v>
      </c>
      <c r="F1804" s="3" t="s">
        <v>10</v>
      </c>
    </row>
    <row r="1805">
      <c r="E1805" s="3" t="s">
        <v>9</v>
      </c>
      <c r="F1805" s="3" t="s">
        <v>10</v>
      </c>
    </row>
    <row r="1806">
      <c r="E1806" s="3" t="s">
        <v>9</v>
      </c>
      <c r="F1806" s="3" t="s">
        <v>10</v>
      </c>
    </row>
    <row r="1807">
      <c r="E1807" s="3" t="s">
        <v>9</v>
      </c>
      <c r="F1807" s="3" t="s">
        <v>10</v>
      </c>
    </row>
    <row r="1808">
      <c r="E1808" s="3" t="s">
        <v>9</v>
      </c>
      <c r="F1808" s="3" t="s">
        <v>10</v>
      </c>
    </row>
    <row r="1809">
      <c r="E1809" s="3" t="s">
        <v>9</v>
      </c>
      <c r="F1809" s="3" t="s">
        <v>10</v>
      </c>
    </row>
    <row r="1810">
      <c r="E1810" s="3" t="s">
        <v>9</v>
      </c>
      <c r="F1810" s="3" t="s">
        <v>10</v>
      </c>
    </row>
    <row r="1811">
      <c r="E1811" s="3" t="s">
        <v>9</v>
      </c>
      <c r="F1811" s="3" t="s">
        <v>10</v>
      </c>
    </row>
    <row r="1812">
      <c r="E1812" s="3" t="s">
        <v>9</v>
      </c>
      <c r="F1812" s="3" t="s">
        <v>10</v>
      </c>
    </row>
    <row r="1813">
      <c r="E1813" s="3" t="s">
        <v>9</v>
      </c>
      <c r="F1813" s="3" t="s">
        <v>10</v>
      </c>
    </row>
    <row r="1814">
      <c r="E1814" s="3" t="s">
        <v>9</v>
      </c>
      <c r="F1814" s="3" t="s">
        <v>10</v>
      </c>
    </row>
    <row r="1815">
      <c r="E1815" s="3" t="s">
        <v>9</v>
      </c>
      <c r="F1815" s="3" t="s">
        <v>10</v>
      </c>
    </row>
    <row r="1816">
      <c r="E1816" s="3" t="s">
        <v>9</v>
      </c>
      <c r="F1816" s="3" t="s">
        <v>10</v>
      </c>
    </row>
    <row r="1817">
      <c r="E1817" s="3" t="s">
        <v>9</v>
      </c>
      <c r="F1817" s="3" t="s">
        <v>10</v>
      </c>
    </row>
    <row r="1818">
      <c r="E1818" s="3" t="s">
        <v>9</v>
      </c>
      <c r="F1818" s="3" t="s">
        <v>10</v>
      </c>
    </row>
    <row r="1819">
      <c r="E1819" s="3" t="s">
        <v>9</v>
      </c>
      <c r="F1819" s="3" t="s">
        <v>10</v>
      </c>
    </row>
    <row r="1820">
      <c r="E1820" s="3" t="s">
        <v>9</v>
      </c>
      <c r="F1820" s="3" t="s">
        <v>10</v>
      </c>
    </row>
    <row r="1821">
      <c r="E1821" s="3" t="s">
        <v>9</v>
      </c>
      <c r="F1821" s="3" t="s">
        <v>10</v>
      </c>
    </row>
    <row r="1822">
      <c r="E1822" s="3" t="s">
        <v>9</v>
      </c>
      <c r="F1822" s="3" t="s">
        <v>10</v>
      </c>
    </row>
    <row r="1823">
      <c r="E1823" s="3" t="s">
        <v>9</v>
      </c>
      <c r="F1823" s="3" t="s">
        <v>10</v>
      </c>
    </row>
    <row r="1824">
      <c r="E1824" s="3" t="s">
        <v>9</v>
      </c>
      <c r="F1824" s="3" t="s">
        <v>10</v>
      </c>
    </row>
    <row r="1825">
      <c r="E1825" s="3" t="s">
        <v>9</v>
      </c>
      <c r="F1825" s="3" t="s">
        <v>10</v>
      </c>
    </row>
    <row r="1826">
      <c r="E1826" s="3" t="s">
        <v>9</v>
      </c>
      <c r="F1826" s="3" t="s">
        <v>10</v>
      </c>
    </row>
    <row r="1827">
      <c r="E1827" s="3" t="s">
        <v>9</v>
      </c>
      <c r="F1827" s="3" t="s">
        <v>10</v>
      </c>
    </row>
    <row r="1828">
      <c r="E1828" s="3" t="s">
        <v>9</v>
      </c>
      <c r="F1828" s="3" t="s">
        <v>10</v>
      </c>
    </row>
    <row r="1829">
      <c r="E1829" s="3" t="s">
        <v>9</v>
      </c>
      <c r="F1829" s="3" t="s">
        <v>10</v>
      </c>
    </row>
    <row r="1830">
      <c r="E1830" s="3" t="s">
        <v>9</v>
      </c>
      <c r="F1830" s="3" t="s">
        <v>10</v>
      </c>
    </row>
    <row r="1831">
      <c r="E1831" s="3" t="s">
        <v>9</v>
      </c>
      <c r="F1831" s="3" t="s">
        <v>10</v>
      </c>
    </row>
    <row r="1832">
      <c r="E1832" s="3" t="s">
        <v>9</v>
      </c>
      <c r="F1832" s="3" t="s">
        <v>10</v>
      </c>
    </row>
    <row r="1833">
      <c r="E1833" s="3" t="s">
        <v>9</v>
      </c>
      <c r="F1833" s="3" t="s">
        <v>10</v>
      </c>
    </row>
    <row r="1834">
      <c r="E1834" s="3" t="s">
        <v>9</v>
      </c>
      <c r="F1834" s="3" t="s">
        <v>10</v>
      </c>
    </row>
    <row r="1835">
      <c r="E1835" s="3" t="s">
        <v>9</v>
      </c>
      <c r="F1835" s="3" t="s">
        <v>10</v>
      </c>
    </row>
    <row r="1836">
      <c r="E1836" s="3" t="s">
        <v>9</v>
      </c>
      <c r="F1836" s="3" t="s">
        <v>10</v>
      </c>
    </row>
    <row r="1837">
      <c r="E1837" s="3" t="s">
        <v>9</v>
      </c>
      <c r="F1837" s="3" t="s">
        <v>10</v>
      </c>
    </row>
    <row r="1838">
      <c r="E1838" s="3" t="s">
        <v>9</v>
      </c>
      <c r="F1838" s="3" t="s">
        <v>10</v>
      </c>
    </row>
    <row r="1839">
      <c r="E1839" s="3" t="s">
        <v>9</v>
      </c>
      <c r="F1839" s="3" t="s">
        <v>10</v>
      </c>
    </row>
    <row r="1840">
      <c r="E1840" s="3" t="s">
        <v>9</v>
      </c>
      <c r="F1840" s="3" t="s">
        <v>10</v>
      </c>
    </row>
    <row r="1841">
      <c r="E1841" s="3" t="s">
        <v>9</v>
      </c>
      <c r="F1841" s="3" t="s">
        <v>10</v>
      </c>
    </row>
    <row r="1842">
      <c r="E1842" s="3" t="s">
        <v>9</v>
      </c>
      <c r="F1842" s="3" t="s">
        <v>10</v>
      </c>
    </row>
    <row r="1843">
      <c r="E1843" s="3" t="s">
        <v>9</v>
      </c>
      <c r="F1843" s="3" t="s">
        <v>10</v>
      </c>
    </row>
    <row r="1844">
      <c r="E1844" s="3" t="s">
        <v>9</v>
      </c>
      <c r="F1844" s="3" t="s">
        <v>10</v>
      </c>
    </row>
    <row r="1845">
      <c r="E1845" s="3" t="s">
        <v>9</v>
      </c>
      <c r="F1845" s="3" t="s">
        <v>10</v>
      </c>
    </row>
    <row r="1846">
      <c r="E1846" s="3" t="s">
        <v>9</v>
      </c>
      <c r="F1846" s="3" t="s">
        <v>10</v>
      </c>
    </row>
    <row r="1847">
      <c r="E1847" s="3" t="s">
        <v>9</v>
      </c>
      <c r="F1847" s="3" t="s">
        <v>10</v>
      </c>
    </row>
    <row r="1848">
      <c r="E1848" s="3" t="s">
        <v>9</v>
      </c>
      <c r="F1848" s="3" t="s">
        <v>10</v>
      </c>
    </row>
    <row r="1849">
      <c r="E1849" s="3" t="s">
        <v>9</v>
      </c>
      <c r="F1849" s="3" t="s">
        <v>10</v>
      </c>
    </row>
    <row r="1850">
      <c r="E1850" s="3" t="s">
        <v>9</v>
      </c>
      <c r="F1850" s="3" t="s">
        <v>10</v>
      </c>
    </row>
    <row r="1851">
      <c r="E1851" s="3" t="s">
        <v>9</v>
      </c>
      <c r="F1851" s="3" t="s">
        <v>10</v>
      </c>
    </row>
    <row r="1852">
      <c r="E1852" s="3" t="s">
        <v>9</v>
      </c>
      <c r="F1852" s="3" t="s">
        <v>10</v>
      </c>
    </row>
    <row r="1853">
      <c r="E1853" s="3" t="s">
        <v>9</v>
      </c>
      <c r="F1853" s="3" t="s">
        <v>10</v>
      </c>
    </row>
    <row r="1854">
      <c r="E1854" s="3" t="s">
        <v>9</v>
      </c>
      <c r="F1854" s="3" t="s">
        <v>10</v>
      </c>
    </row>
    <row r="1855">
      <c r="E1855" s="3" t="s">
        <v>9</v>
      </c>
      <c r="F1855" s="3" t="s">
        <v>10</v>
      </c>
    </row>
    <row r="1856">
      <c r="E1856" s="3" t="s">
        <v>9</v>
      </c>
      <c r="F1856" s="3" t="s">
        <v>10</v>
      </c>
    </row>
    <row r="1857">
      <c r="E1857" s="3" t="s">
        <v>9</v>
      </c>
      <c r="F1857" s="3" t="s">
        <v>10</v>
      </c>
    </row>
    <row r="1858">
      <c r="E1858" s="3" t="s">
        <v>9</v>
      </c>
      <c r="F1858" s="3" t="s">
        <v>10</v>
      </c>
    </row>
    <row r="1859">
      <c r="E1859" s="3" t="s">
        <v>9</v>
      </c>
      <c r="F1859" s="3" t="s">
        <v>10</v>
      </c>
    </row>
    <row r="1860">
      <c r="E1860" s="3" t="s">
        <v>9</v>
      </c>
      <c r="F1860" s="3" t="s">
        <v>10</v>
      </c>
    </row>
    <row r="1861">
      <c r="E1861" s="3" t="s">
        <v>9</v>
      </c>
      <c r="F1861" s="3" t="s">
        <v>10</v>
      </c>
    </row>
    <row r="1862">
      <c r="E1862" s="3" t="s">
        <v>9</v>
      </c>
      <c r="F1862" s="3" t="s">
        <v>10</v>
      </c>
    </row>
    <row r="1863">
      <c r="E1863" s="3" t="s">
        <v>9</v>
      </c>
      <c r="F1863" s="3" t="s">
        <v>10</v>
      </c>
    </row>
    <row r="1864">
      <c r="E1864" s="3" t="s">
        <v>9</v>
      </c>
      <c r="F1864" s="3" t="s">
        <v>10</v>
      </c>
    </row>
    <row r="1865">
      <c r="E1865" s="3" t="s">
        <v>9</v>
      </c>
      <c r="F1865" s="3" t="s">
        <v>10</v>
      </c>
    </row>
    <row r="1866">
      <c r="E1866" s="3" t="s">
        <v>9</v>
      </c>
      <c r="F1866" s="3" t="s">
        <v>10</v>
      </c>
    </row>
    <row r="1867">
      <c r="E1867" s="3" t="s">
        <v>9</v>
      </c>
      <c r="F1867" s="3" t="s">
        <v>10</v>
      </c>
    </row>
    <row r="1868">
      <c r="E1868" s="3" t="s">
        <v>9</v>
      </c>
      <c r="F1868" s="3" t="s">
        <v>10</v>
      </c>
    </row>
    <row r="1869">
      <c r="E1869" s="3" t="s">
        <v>9</v>
      </c>
      <c r="F1869" s="3" t="s">
        <v>10</v>
      </c>
    </row>
    <row r="1870">
      <c r="E1870" s="3" t="s">
        <v>9</v>
      </c>
      <c r="F1870" s="3" t="s">
        <v>10</v>
      </c>
    </row>
    <row r="1871">
      <c r="E1871" s="3" t="s">
        <v>9</v>
      </c>
      <c r="F1871" s="3" t="s">
        <v>10</v>
      </c>
    </row>
    <row r="1872">
      <c r="E1872" s="3" t="s">
        <v>9</v>
      </c>
      <c r="F1872" s="3" t="s">
        <v>10</v>
      </c>
    </row>
    <row r="1873">
      <c r="E1873" s="3" t="s">
        <v>9</v>
      </c>
      <c r="F1873" s="3" t="s">
        <v>10</v>
      </c>
    </row>
    <row r="1874">
      <c r="E1874" s="3" t="s">
        <v>9</v>
      </c>
      <c r="F1874" s="3" t="s">
        <v>10</v>
      </c>
    </row>
    <row r="1875">
      <c r="E1875" s="3" t="s">
        <v>9</v>
      </c>
      <c r="F1875" s="3" t="s">
        <v>10</v>
      </c>
    </row>
    <row r="1876">
      <c r="E1876" s="3" t="s">
        <v>9</v>
      </c>
      <c r="F1876" s="3" t="s">
        <v>10</v>
      </c>
    </row>
    <row r="1877">
      <c r="E1877" s="3" t="s">
        <v>9</v>
      </c>
      <c r="F1877" s="3" t="s">
        <v>10</v>
      </c>
    </row>
    <row r="1878">
      <c r="E1878" s="3" t="s">
        <v>9</v>
      </c>
      <c r="F1878" s="3" t="s">
        <v>10</v>
      </c>
    </row>
    <row r="1879">
      <c r="E1879" s="3" t="s">
        <v>9</v>
      </c>
      <c r="F1879" s="3" t="s">
        <v>10</v>
      </c>
    </row>
    <row r="1880">
      <c r="E1880" s="3" t="s">
        <v>9</v>
      </c>
      <c r="F1880" s="3" t="s">
        <v>10</v>
      </c>
    </row>
    <row r="1881">
      <c r="E1881" s="3" t="s">
        <v>9</v>
      </c>
      <c r="F1881" s="3" t="s">
        <v>10</v>
      </c>
    </row>
    <row r="1882">
      <c r="E1882" s="3" t="s">
        <v>9</v>
      </c>
      <c r="F1882" s="3" t="s">
        <v>10</v>
      </c>
    </row>
    <row r="1883">
      <c r="E1883" s="3" t="s">
        <v>9</v>
      </c>
      <c r="F1883" s="3" t="s">
        <v>10</v>
      </c>
    </row>
    <row r="1884">
      <c r="E1884" s="3" t="s">
        <v>9</v>
      </c>
      <c r="F1884" s="3" t="s">
        <v>10</v>
      </c>
    </row>
    <row r="1885">
      <c r="E1885" s="3" t="s">
        <v>9</v>
      </c>
      <c r="F1885" s="3" t="s">
        <v>10</v>
      </c>
    </row>
    <row r="1886">
      <c r="E1886" s="3" t="s">
        <v>9</v>
      </c>
      <c r="F1886" s="3" t="s">
        <v>10</v>
      </c>
    </row>
    <row r="1887">
      <c r="E1887" s="3" t="s">
        <v>9</v>
      </c>
      <c r="F1887" s="3" t="s">
        <v>10</v>
      </c>
    </row>
    <row r="1888">
      <c r="E1888" s="3" t="s">
        <v>9</v>
      </c>
      <c r="F1888" s="3" t="s">
        <v>10</v>
      </c>
    </row>
    <row r="1889">
      <c r="E1889" s="3" t="s">
        <v>9</v>
      </c>
      <c r="F1889" s="3" t="s">
        <v>10</v>
      </c>
    </row>
    <row r="1890">
      <c r="E1890" s="3" t="s">
        <v>9</v>
      </c>
      <c r="F1890" s="3" t="s">
        <v>10</v>
      </c>
    </row>
    <row r="1891">
      <c r="E1891" s="3" t="s">
        <v>9</v>
      </c>
      <c r="F1891" s="3" t="s">
        <v>10</v>
      </c>
    </row>
    <row r="1892">
      <c r="E1892" s="3" t="s">
        <v>9</v>
      </c>
      <c r="F1892" s="3" t="s">
        <v>10</v>
      </c>
    </row>
    <row r="1893">
      <c r="E1893" s="3" t="s">
        <v>9</v>
      </c>
      <c r="F1893" s="3" t="s">
        <v>10</v>
      </c>
    </row>
    <row r="1894">
      <c r="E1894" s="3" t="s">
        <v>9</v>
      </c>
      <c r="F1894" s="3" t="s">
        <v>10</v>
      </c>
    </row>
    <row r="1895">
      <c r="E1895" s="3" t="s">
        <v>9</v>
      </c>
      <c r="F1895" s="3" t="s">
        <v>10</v>
      </c>
    </row>
    <row r="1896">
      <c r="E1896" s="3" t="s">
        <v>9</v>
      </c>
      <c r="F1896" s="3" t="s">
        <v>10</v>
      </c>
    </row>
    <row r="1897">
      <c r="E1897" s="3" t="s">
        <v>9</v>
      </c>
      <c r="F1897" s="3" t="s">
        <v>10</v>
      </c>
    </row>
    <row r="1898">
      <c r="E1898" s="3" t="s">
        <v>9</v>
      </c>
      <c r="F1898" s="3" t="s">
        <v>10</v>
      </c>
    </row>
    <row r="1899">
      <c r="E1899" s="3" t="s">
        <v>9</v>
      </c>
      <c r="F1899" s="3" t="s">
        <v>10</v>
      </c>
    </row>
    <row r="1900">
      <c r="E1900" s="3" t="s">
        <v>9</v>
      </c>
      <c r="F1900" s="3" t="s">
        <v>10</v>
      </c>
    </row>
    <row r="1901">
      <c r="E1901" s="3" t="s">
        <v>9</v>
      </c>
      <c r="F1901" s="3" t="s">
        <v>10</v>
      </c>
    </row>
    <row r="1902">
      <c r="E1902" s="3" t="s">
        <v>9</v>
      </c>
      <c r="F1902" s="3" t="s">
        <v>10</v>
      </c>
    </row>
    <row r="1903">
      <c r="E1903" s="3" t="s">
        <v>9</v>
      </c>
      <c r="F1903" s="3" t="s">
        <v>10</v>
      </c>
    </row>
    <row r="1904">
      <c r="E1904" s="3" t="s">
        <v>9</v>
      </c>
      <c r="F1904" s="3" t="s">
        <v>10</v>
      </c>
    </row>
    <row r="1905">
      <c r="E1905" s="3" t="s">
        <v>9</v>
      </c>
      <c r="F1905" s="3" t="s">
        <v>10</v>
      </c>
    </row>
    <row r="1906">
      <c r="E1906" s="3" t="s">
        <v>9</v>
      </c>
      <c r="F1906" s="3" t="s">
        <v>10</v>
      </c>
    </row>
    <row r="1907">
      <c r="E1907" s="3" t="s">
        <v>9</v>
      </c>
      <c r="F1907" s="3" t="s">
        <v>10</v>
      </c>
    </row>
    <row r="1908">
      <c r="E1908" s="3" t="s">
        <v>9</v>
      </c>
      <c r="F1908" s="3" t="s">
        <v>10</v>
      </c>
    </row>
    <row r="1909">
      <c r="E1909" s="3" t="s">
        <v>9</v>
      </c>
      <c r="F1909" s="3" t="s">
        <v>10</v>
      </c>
    </row>
    <row r="1910">
      <c r="E1910" s="3" t="s">
        <v>9</v>
      </c>
      <c r="F1910" s="3" t="s">
        <v>10</v>
      </c>
    </row>
    <row r="1911">
      <c r="E1911" s="3" t="s">
        <v>9</v>
      </c>
      <c r="F1911" s="3" t="s">
        <v>10</v>
      </c>
    </row>
    <row r="1912">
      <c r="E1912" s="3" t="s">
        <v>9</v>
      </c>
      <c r="F1912" s="3" t="s">
        <v>10</v>
      </c>
    </row>
    <row r="1913">
      <c r="E1913" s="3" t="s">
        <v>9</v>
      </c>
      <c r="F1913" s="3" t="s">
        <v>10</v>
      </c>
    </row>
    <row r="1914">
      <c r="E1914" s="3" t="s">
        <v>9</v>
      </c>
      <c r="F1914" s="3" t="s">
        <v>10</v>
      </c>
    </row>
    <row r="1915">
      <c r="E1915" s="3" t="s">
        <v>9</v>
      </c>
      <c r="F1915" s="3" t="s">
        <v>10</v>
      </c>
    </row>
    <row r="1916">
      <c r="E1916" s="3" t="s">
        <v>9</v>
      </c>
      <c r="F1916" s="3" t="s">
        <v>10</v>
      </c>
    </row>
    <row r="1917">
      <c r="E1917" s="3" t="s">
        <v>9</v>
      </c>
      <c r="F1917" s="3" t="s">
        <v>10</v>
      </c>
    </row>
    <row r="1918">
      <c r="E1918" s="3" t="s">
        <v>9</v>
      </c>
      <c r="F1918" s="3" t="s">
        <v>10</v>
      </c>
    </row>
    <row r="1919">
      <c r="E1919" s="3" t="s">
        <v>9</v>
      </c>
      <c r="F1919" s="3" t="s">
        <v>10</v>
      </c>
    </row>
    <row r="1920">
      <c r="E1920" s="3" t="s">
        <v>9</v>
      </c>
      <c r="F1920" s="3" t="s">
        <v>10</v>
      </c>
    </row>
    <row r="1921">
      <c r="E1921" s="3" t="s">
        <v>9</v>
      </c>
      <c r="F1921" s="3" t="s">
        <v>10</v>
      </c>
    </row>
    <row r="1922">
      <c r="E1922" s="3" t="s">
        <v>9</v>
      </c>
      <c r="F1922" s="3" t="s">
        <v>10</v>
      </c>
    </row>
    <row r="1923">
      <c r="E1923" s="3" t="s">
        <v>9</v>
      </c>
      <c r="F1923" s="3" t="s">
        <v>10</v>
      </c>
    </row>
    <row r="1924">
      <c r="E1924" s="3" t="s">
        <v>9</v>
      </c>
      <c r="F1924" s="3" t="s">
        <v>10</v>
      </c>
    </row>
    <row r="1925">
      <c r="E1925" s="3" t="s">
        <v>9</v>
      </c>
      <c r="F1925" s="3" t="s">
        <v>10</v>
      </c>
    </row>
    <row r="1926">
      <c r="E1926" s="3" t="s">
        <v>9</v>
      </c>
      <c r="F1926" s="3" t="s">
        <v>10</v>
      </c>
    </row>
    <row r="1927">
      <c r="E1927" s="3" t="s">
        <v>9</v>
      </c>
      <c r="F1927" s="3" t="s">
        <v>10</v>
      </c>
    </row>
    <row r="1928">
      <c r="E1928" s="3" t="s">
        <v>9</v>
      </c>
      <c r="F1928" s="3" t="s">
        <v>10</v>
      </c>
    </row>
    <row r="1929">
      <c r="E1929" s="3" t="s">
        <v>9</v>
      </c>
      <c r="F1929" s="3" t="s">
        <v>10</v>
      </c>
    </row>
    <row r="1930">
      <c r="E1930" s="3" t="s">
        <v>9</v>
      </c>
      <c r="F1930" s="3" t="s">
        <v>10</v>
      </c>
    </row>
    <row r="1931">
      <c r="E1931" s="3" t="s">
        <v>9</v>
      </c>
      <c r="F1931" s="3" t="s">
        <v>10</v>
      </c>
    </row>
    <row r="1932">
      <c r="E1932" s="3" t="s">
        <v>9</v>
      </c>
      <c r="F1932" s="3" t="s">
        <v>10</v>
      </c>
    </row>
    <row r="1933">
      <c r="E1933" s="3" t="s">
        <v>9</v>
      </c>
      <c r="F1933" s="3" t="s">
        <v>10</v>
      </c>
    </row>
    <row r="1934">
      <c r="E1934" s="3" t="s">
        <v>9</v>
      </c>
      <c r="F1934" s="3" t="s">
        <v>10</v>
      </c>
    </row>
    <row r="1935">
      <c r="E1935" s="3" t="s">
        <v>9</v>
      </c>
      <c r="F1935" s="3" t="s">
        <v>10</v>
      </c>
    </row>
    <row r="1936">
      <c r="E1936" s="3" t="s">
        <v>9</v>
      </c>
      <c r="F1936" s="3" t="s">
        <v>10</v>
      </c>
    </row>
    <row r="1937">
      <c r="E1937" s="3" t="s">
        <v>9</v>
      </c>
      <c r="F1937" s="3" t="s">
        <v>10</v>
      </c>
    </row>
    <row r="1938">
      <c r="E1938" s="3" t="s">
        <v>9</v>
      </c>
      <c r="F1938" s="3" t="s">
        <v>10</v>
      </c>
    </row>
    <row r="1939">
      <c r="E1939" s="3" t="s">
        <v>9</v>
      </c>
      <c r="F1939" s="3" t="s">
        <v>10</v>
      </c>
    </row>
    <row r="1940">
      <c r="E1940" s="3" t="s">
        <v>9</v>
      </c>
      <c r="F1940" s="3" t="s">
        <v>10</v>
      </c>
    </row>
    <row r="1941">
      <c r="E1941" s="3" t="s">
        <v>9</v>
      </c>
      <c r="F1941" s="3" t="s">
        <v>10</v>
      </c>
    </row>
    <row r="1942">
      <c r="E1942" s="3" t="s">
        <v>9</v>
      </c>
      <c r="F1942" s="3" t="s">
        <v>10</v>
      </c>
    </row>
    <row r="1943">
      <c r="E1943" s="3" t="s">
        <v>9</v>
      </c>
      <c r="F1943" s="3" t="s">
        <v>10</v>
      </c>
    </row>
    <row r="1944">
      <c r="E1944" s="3" t="s">
        <v>9</v>
      </c>
      <c r="F1944" s="3" t="s">
        <v>10</v>
      </c>
    </row>
    <row r="1945">
      <c r="E1945" s="3" t="s">
        <v>9</v>
      </c>
      <c r="F1945" s="3" t="s">
        <v>10</v>
      </c>
    </row>
    <row r="1946">
      <c r="E1946" s="3" t="s">
        <v>9</v>
      </c>
      <c r="F1946" s="3" t="s">
        <v>10</v>
      </c>
    </row>
    <row r="1947">
      <c r="E1947" s="3" t="s">
        <v>9</v>
      </c>
      <c r="F1947" s="3" t="s">
        <v>10</v>
      </c>
    </row>
    <row r="1948">
      <c r="E1948" s="3" t="s">
        <v>9</v>
      </c>
      <c r="F1948" s="3" t="s">
        <v>10</v>
      </c>
    </row>
    <row r="1949">
      <c r="E1949" s="3" t="s">
        <v>9</v>
      </c>
      <c r="F1949" s="3" t="s">
        <v>10</v>
      </c>
    </row>
    <row r="1950">
      <c r="E1950" s="3" t="s">
        <v>9</v>
      </c>
      <c r="F1950" s="3" t="s">
        <v>10</v>
      </c>
    </row>
    <row r="1951">
      <c r="E1951" s="3" t="s">
        <v>9</v>
      </c>
      <c r="F1951" s="3" t="s">
        <v>10</v>
      </c>
    </row>
    <row r="1952">
      <c r="E1952" s="3" t="s">
        <v>9</v>
      </c>
      <c r="F1952" s="3" t="s">
        <v>10</v>
      </c>
    </row>
    <row r="1953">
      <c r="E1953" s="3" t="s">
        <v>9</v>
      </c>
      <c r="F1953" s="3" t="s">
        <v>10</v>
      </c>
    </row>
    <row r="1954">
      <c r="E1954" s="3" t="s">
        <v>9</v>
      </c>
      <c r="F1954" s="3" t="s">
        <v>10</v>
      </c>
    </row>
    <row r="1955">
      <c r="E1955" s="3" t="s">
        <v>9</v>
      </c>
      <c r="F1955" s="3" t="s">
        <v>10</v>
      </c>
    </row>
    <row r="1956">
      <c r="E1956" s="3" t="s">
        <v>9</v>
      </c>
      <c r="F1956" s="3" t="s">
        <v>10</v>
      </c>
    </row>
    <row r="1957">
      <c r="E1957" s="3" t="s">
        <v>9</v>
      </c>
      <c r="F1957" s="3" t="s">
        <v>10</v>
      </c>
    </row>
    <row r="1958">
      <c r="E1958" s="3" t="s">
        <v>9</v>
      </c>
      <c r="F1958" s="3" t="s">
        <v>10</v>
      </c>
    </row>
    <row r="1959">
      <c r="E1959" s="3" t="s">
        <v>9</v>
      </c>
      <c r="F1959" s="3" t="s">
        <v>10</v>
      </c>
    </row>
    <row r="1960">
      <c r="E1960" s="3" t="s">
        <v>9</v>
      </c>
      <c r="F1960" s="3" t="s">
        <v>10</v>
      </c>
    </row>
    <row r="1961">
      <c r="E1961" s="3" t="s">
        <v>9</v>
      </c>
      <c r="F1961" s="3" t="s">
        <v>10</v>
      </c>
    </row>
    <row r="1962">
      <c r="E1962" s="3" t="s">
        <v>9</v>
      </c>
      <c r="F1962" s="3" t="s">
        <v>10</v>
      </c>
    </row>
    <row r="1963">
      <c r="E1963" s="3" t="s">
        <v>9</v>
      </c>
      <c r="F1963" s="3" t="s">
        <v>10</v>
      </c>
    </row>
    <row r="1964">
      <c r="E1964" s="3" t="s">
        <v>9</v>
      </c>
      <c r="F1964" s="3" t="s">
        <v>10</v>
      </c>
    </row>
    <row r="1965">
      <c r="E1965" s="3" t="s">
        <v>9</v>
      </c>
      <c r="F1965" s="3" t="s">
        <v>10</v>
      </c>
    </row>
    <row r="1966">
      <c r="E1966" s="3" t="s">
        <v>9</v>
      </c>
      <c r="F1966" s="3" t="s">
        <v>10</v>
      </c>
    </row>
    <row r="1967">
      <c r="E1967" s="3" t="s">
        <v>9</v>
      </c>
      <c r="F1967" s="3" t="s">
        <v>10</v>
      </c>
    </row>
    <row r="1968">
      <c r="E1968" s="3" t="s">
        <v>9</v>
      </c>
      <c r="F1968" s="3" t="s">
        <v>10</v>
      </c>
    </row>
    <row r="1969">
      <c r="E1969" s="3" t="s">
        <v>9</v>
      </c>
      <c r="F1969" s="3" t="s">
        <v>10</v>
      </c>
    </row>
    <row r="1970">
      <c r="E1970" s="3" t="s">
        <v>9</v>
      </c>
      <c r="F1970" s="3" t="s">
        <v>10</v>
      </c>
    </row>
    <row r="1971">
      <c r="E1971" s="3" t="s">
        <v>9</v>
      </c>
      <c r="F1971" s="3" t="s">
        <v>10</v>
      </c>
    </row>
    <row r="1972">
      <c r="E1972" s="3" t="s">
        <v>9</v>
      </c>
      <c r="F1972" s="3" t="s">
        <v>10</v>
      </c>
    </row>
    <row r="1973">
      <c r="E1973" s="3" t="s">
        <v>9</v>
      </c>
      <c r="F1973" s="3" t="s">
        <v>10</v>
      </c>
    </row>
    <row r="1974">
      <c r="E1974" s="3" t="s">
        <v>9</v>
      </c>
      <c r="F1974" s="3" t="s">
        <v>10</v>
      </c>
    </row>
    <row r="1975">
      <c r="E1975" s="3" t="s">
        <v>9</v>
      </c>
      <c r="F1975" s="3" t="s">
        <v>10</v>
      </c>
    </row>
    <row r="1976">
      <c r="E1976" s="3" t="s">
        <v>9</v>
      </c>
      <c r="F1976" s="3" t="s">
        <v>10</v>
      </c>
    </row>
    <row r="1977">
      <c r="E1977" s="3" t="s">
        <v>9</v>
      </c>
      <c r="F1977" s="3" t="s">
        <v>10</v>
      </c>
    </row>
    <row r="1978">
      <c r="E1978" s="3" t="s">
        <v>9</v>
      </c>
      <c r="F1978" s="3" t="s">
        <v>10</v>
      </c>
    </row>
    <row r="1979">
      <c r="E1979" s="3" t="s">
        <v>9</v>
      </c>
      <c r="F1979" s="3" t="s">
        <v>10</v>
      </c>
    </row>
    <row r="1980">
      <c r="E1980" s="3" t="s">
        <v>9</v>
      </c>
      <c r="F1980" s="3" t="s">
        <v>10</v>
      </c>
    </row>
    <row r="1981">
      <c r="E1981" s="3" t="s">
        <v>9</v>
      </c>
      <c r="F1981" s="3" t="s">
        <v>10</v>
      </c>
    </row>
    <row r="1982">
      <c r="E1982" s="3" t="s">
        <v>9</v>
      </c>
      <c r="F1982" s="3" t="s">
        <v>10</v>
      </c>
    </row>
    <row r="1983">
      <c r="E1983" s="3" t="s">
        <v>9</v>
      </c>
      <c r="F1983" s="3" t="s">
        <v>10</v>
      </c>
    </row>
    <row r="1984">
      <c r="E1984" s="3" t="s">
        <v>9</v>
      </c>
      <c r="F1984" s="3" t="s">
        <v>10</v>
      </c>
    </row>
    <row r="1985">
      <c r="E1985" s="3" t="s">
        <v>9</v>
      </c>
      <c r="F1985" s="3" t="s">
        <v>10</v>
      </c>
    </row>
    <row r="1986">
      <c r="E1986" s="3" t="s">
        <v>9</v>
      </c>
      <c r="F1986" s="3" t="s">
        <v>10</v>
      </c>
    </row>
    <row r="1987">
      <c r="E1987" s="3" t="s">
        <v>9</v>
      </c>
      <c r="F1987" s="3" t="s">
        <v>10</v>
      </c>
    </row>
    <row r="1988">
      <c r="E1988" s="3" t="s">
        <v>9</v>
      </c>
      <c r="F1988" s="3" t="s">
        <v>10</v>
      </c>
    </row>
    <row r="1989">
      <c r="E1989" s="3" t="s">
        <v>9</v>
      </c>
      <c r="F1989" s="3" t="s">
        <v>10</v>
      </c>
    </row>
    <row r="1990">
      <c r="E1990" s="3" t="s">
        <v>9</v>
      </c>
      <c r="F1990" s="3" t="s">
        <v>10</v>
      </c>
    </row>
    <row r="1991">
      <c r="E1991" s="3" t="s">
        <v>9</v>
      </c>
      <c r="F1991" s="3" t="s">
        <v>10</v>
      </c>
    </row>
    <row r="1992">
      <c r="E1992" s="3" t="s">
        <v>9</v>
      </c>
      <c r="F1992" s="3" t="s">
        <v>10</v>
      </c>
    </row>
    <row r="1993">
      <c r="E1993" s="3" t="s">
        <v>9</v>
      </c>
      <c r="F1993" s="3" t="s">
        <v>10</v>
      </c>
    </row>
    <row r="1994">
      <c r="E1994" s="3" t="s">
        <v>9</v>
      </c>
      <c r="F1994" s="3" t="s">
        <v>10</v>
      </c>
    </row>
    <row r="1995">
      <c r="E1995" s="3" t="s">
        <v>9</v>
      </c>
      <c r="F1995" s="3" t="s">
        <v>10</v>
      </c>
    </row>
    <row r="1996">
      <c r="E1996" s="3" t="s">
        <v>9</v>
      </c>
      <c r="F1996" s="3" t="s">
        <v>10</v>
      </c>
    </row>
    <row r="1997">
      <c r="E1997" s="3" t="s">
        <v>9</v>
      </c>
      <c r="F1997" s="3" t="s">
        <v>10</v>
      </c>
    </row>
    <row r="1998">
      <c r="E1998" s="3" t="s">
        <v>9</v>
      </c>
      <c r="F1998" s="3" t="s">
        <v>10</v>
      </c>
    </row>
    <row r="1999">
      <c r="E1999" s="3" t="s">
        <v>9</v>
      </c>
      <c r="F1999" s="3" t="s">
        <v>10</v>
      </c>
    </row>
    <row r="2000">
      <c r="E2000" s="3" t="s">
        <v>9</v>
      </c>
      <c r="F2000" s="3" t="s">
        <v>10</v>
      </c>
    </row>
    <row r="2001">
      <c r="E2001" s="3" t="s">
        <v>9</v>
      </c>
      <c r="F2001" s="3" t="s">
        <v>10</v>
      </c>
    </row>
    <row r="2002">
      <c r="A2002" s="6">
        <v>45990.72327282408</v>
      </c>
      <c r="B2002" s="3" t="s">
        <v>13</v>
      </c>
      <c r="C2002" s="3" t="s">
        <v>14</v>
      </c>
      <c r="D2002" s="7">
        <v>753698.0</v>
      </c>
      <c r="E2002" s="3" t="s">
        <v>10</v>
      </c>
      <c r="F2002" s="3" t="s">
        <v>8</v>
      </c>
    </row>
    <row r="2003">
      <c r="A2003" s="6">
        <v>45990.72721739583</v>
      </c>
      <c r="B2003" s="3" t="s">
        <v>15</v>
      </c>
      <c r="C2003" s="3" t="s">
        <v>14</v>
      </c>
      <c r="D2003" s="7">
        <v>753698.0</v>
      </c>
      <c r="E2003" s="3" t="s">
        <v>10</v>
      </c>
      <c r="F2003" s="3" t="s">
        <v>8</v>
      </c>
    </row>
  </sheetData>
  <dataValidations>
    <dataValidation type="list" allowBlank="1" showErrorMessage="1" sqref="F2:F2003">
      <formula1>"Pilih,Aktif,Pending,Nonaktif"</formula1>
    </dataValidation>
    <dataValidation type="list" allowBlank="1" showErrorMessage="1" sqref="E2:E2003">
      <formula1>"Pilih,Admin,Anggota"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88"/>
    <col customWidth="1" min="2" max="2" width="43.88"/>
    <col customWidth="1" min="3" max="3" width="12.25"/>
    <col customWidth="1" min="4" max="4" width="25.13"/>
    <col customWidth="1" min="5" max="5" width="11.75"/>
    <col customWidth="1" min="6" max="6" width="14.0"/>
    <col customWidth="1" min="7" max="7" width="33.0"/>
    <col customWidth="1" min="8" max="8" width="12.63"/>
    <col customWidth="1" min="9" max="9" width="9.88"/>
    <col customWidth="1" min="10" max="10" width="54.38"/>
    <col customWidth="1" min="11" max="11" width="49.0"/>
    <col customWidth="1" min="12" max="12" width="47.0"/>
    <col customWidth="1" min="13" max="13" width="12.75"/>
    <col customWidth="1" min="14" max="14" width="13.25"/>
    <col customWidth="1" min="15" max="15" width="19.25"/>
    <col customWidth="1" min="16" max="16" width="68.0"/>
    <col customWidth="1" min="17" max="17" width="105.0"/>
    <col customWidth="1" min="18" max="19" width="13.38"/>
    <col customWidth="1" min="20" max="20" width="12.25"/>
    <col customWidth="1" min="21" max="21" width="11.63"/>
    <col customWidth="1" min="22" max="22" width="83.75"/>
    <col customWidth="1" min="23" max="23" width="131.88"/>
    <col customWidth="1" min="24" max="24" width="19.25"/>
    <col customWidth="1" min="25" max="25" width="20.25"/>
    <col customWidth="1" min="26" max="26" width="10.75"/>
    <col customWidth="1" min="27" max="27" width="13.13"/>
    <col customWidth="1" min="28" max="28" width="11.5"/>
    <col customWidth="1" min="29" max="29" width="17.25"/>
    <col customWidth="1" min="30" max="30" width="11.13"/>
    <col customWidth="1" min="31" max="31" width="29.75"/>
  </cols>
  <sheetData>
    <row r="1">
      <c r="A1" s="8" t="s">
        <v>0</v>
      </c>
      <c r="B1" s="9" t="s">
        <v>16</v>
      </c>
      <c r="C1" s="8" t="s">
        <v>17</v>
      </c>
      <c r="D1" s="8" t="s">
        <v>18</v>
      </c>
      <c r="E1" s="8" t="s">
        <v>19</v>
      </c>
      <c r="F1" s="8" t="s">
        <v>20</v>
      </c>
      <c r="G1" s="8" t="s">
        <v>1</v>
      </c>
      <c r="H1" s="9" t="s">
        <v>21</v>
      </c>
      <c r="I1" s="9" t="s">
        <v>22</v>
      </c>
      <c r="J1" s="8" t="s">
        <v>23</v>
      </c>
      <c r="K1" s="8" t="s">
        <v>24</v>
      </c>
      <c r="L1" s="8" t="s">
        <v>25</v>
      </c>
      <c r="M1" s="8" t="s">
        <v>26</v>
      </c>
      <c r="N1" s="8" t="s">
        <v>27</v>
      </c>
      <c r="O1" s="9" t="s">
        <v>28</v>
      </c>
      <c r="P1" s="8" t="s">
        <v>29</v>
      </c>
      <c r="Q1" s="8" t="s">
        <v>30</v>
      </c>
      <c r="R1" s="9" t="s">
        <v>31</v>
      </c>
      <c r="S1" s="8" t="s">
        <v>32</v>
      </c>
      <c r="T1" s="8" t="s">
        <v>33</v>
      </c>
      <c r="U1" s="8" t="s">
        <v>34</v>
      </c>
      <c r="V1" s="8" t="s">
        <v>35</v>
      </c>
      <c r="W1" s="8" t="s">
        <v>36</v>
      </c>
      <c r="X1" s="9" t="s">
        <v>37</v>
      </c>
      <c r="Y1" s="9" t="s">
        <v>38</v>
      </c>
      <c r="Z1" s="8" t="s">
        <v>39</v>
      </c>
      <c r="AA1" s="8" t="s">
        <v>40</v>
      </c>
      <c r="AB1" s="8" t="s">
        <v>41</v>
      </c>
      <c r="AC1" s="8" t="s">
        <v>42</v>
      </c>
      <c r="AD1" s="8" t="s">
        <v>43</v>
      </c>
      <c r="AE1" s="9" t="s">
        <v>44</v>
      </c>
    </row>
    <row r="2">
      <c r="A2" s="3" t="s">
        <v>6</v>
      </c>
      <c r="B2" s="3" t="s">
        <v>45</v>
      </c>
      <c r="C2" s="2"/>
      <c r="D2" s="10"/>
      <c r="E2" s="11"/>
      <c r="F2" s="12" t="s">
        <v>46</v>
      </c>
      <c r="G2" s="2" t="s">
        <v>7</v>
      </c>
      <c r="H2" s="2"/>
      <c r="I2" s="10"/>
      <c r="J2" s="10"/>
      <c r="K2" s="13"/>
      <c r="L2" s="13"/>
      <c r="M2" s="1"/>
      <c r="N2" s="2" t="s">
        <v>47</v>
      </c>
      <c r="O2" s="2"/>
      <c r="P2" s="14" t="s">
        <v>48</v>
      </c>
      <c r="Q2" s="14" t="s">
        <v>49</v>
      </c>
      <c r="R2" s="2"/>
      <c r="S2" s="2"/>
      <c r="T2" s="2"/>
      <c r="U2" s="2"/>
      <c r="V2" s="2"/>
      <c r="W2" s="2"/>
      <c r="X2" s="2"/>
      <c r="Y2" s="2" t="s">
        <v>50</v>
      </c>
      <c r="Z2" s="2"/>
      <c r="AA2" s="2"/>
      <c r="AB2" s="2"/>
      <c r="AC2" s="2"/>
      <c r="AD2" s="2"/>
      <c r="AE2" s="2"/>
    </row>
    <row r="3">
      <c r="A3" s="15" t="s">
        <v>51</v>
      </c>
      <c r="B3" s="10" t="s">
        <v>52</v>
      </c>
      <c r="C3" s="2" t="s">
        <v>53</v>
      </c>
      <c r="D3" s="10"/>
      <c r="E3" s="11">
        <v>31366.0</v>
      </c>
      <c r="F3" s="12" t="s">
        <v>54</v>
      </c>
      <c r="G3" s="10" t="s">
        <v>55</v>
      </c>
      <c r="H3" s="2" t="s">
        <v>56</v>
      </c>
      <c r="I3" s="2" t="s">
        <v>57</v>
      </c>
      <c r="J3" s="2" t="s">
        <v>58</v>
      </c>
      <c r="K3" s="16" t="s">
        <v>59</v>
      </c>
      <c r="L3" s="16" t="s">
        <v>60</v>
      </c>
      <c r="M3" s="16" t="s">
        <v>61</v>
      </c>
      <c r="N3" s="16" t="s">
        <v>62</v>
      </c>
      <c r="O3" s="16" t="s">
        <v>63</v>
      </c>
      <c r="P3" s="17" t="s">
        <v>64</v>
      </c>
      <c r="Q3" s="14" t="s">
        <v>65</v>
      </c>
      <c r="R3" s="2" t="s">
        <v>66</v>
      </c>
      <c r="S3" s="2" t="s">
        <v>67</v>
      </c>
      <c r="T3" s="2"/>
      <c r="U3" s="2"/>
      <c r="V3" s="2"/>
      <c r="W3" s="2"/>
      <c r="X3" s="2"/>
      <c r="Y3" s="2" t="s">
        <v>68</v>
      </c>
      <c r="Z3" s="2"/>
      <c r="AA3" s="2"/>
      <c r="AB3" s="2" t="s">
        <v>69</v>
      </c>
      <c r="AC3" s="2"/>
      <c r="AD3" s="2"/>
      <c r="AE3" s="2"/>
    </row>
    <row r="4">
      <c r="A4" s="1" t="s">
        <v>70</v>
      </c>
      <c r="B4" s="1" t="s">
        <v>71</v>
      </c>
      <c r="C4" s="5" t="s">
        <v>53</v>
      </c>
      <c r="E4" s="11">
        <v>32502.0</v>
      </c>
      <c r="G4" s="1" t="s">
        <v>72</v>
      </c>
      <c r="P4" s="17" t="s">
        <v>73</v>
      </c>
    </row>
    <row r="5">
      <c r="A5" s="1" t="s">
        <v>74</v>
      </c>
      <c r="B5" s="1" t="s">
        <v>75</v>
      </c>
      <c r="C5" s="5" t="s">
        <v>76</v>
      </c>
      <c r="E5" s="11">
        <v>32891.0</v>
      </c>
      <c r="G5" s="1" t="s">
        <v>77</v>
      </c>
      <c r="P5" s="17" t="s">
        <v>78</v>
      </c>
    </row>
    <row r="6">
      <c r="A6" s="1" t="s">
        <v>79</v>
      </c>
      <c r="B6" s="1" t="s">
        <v>80</v>
      </c>
      <c r="C6" s="5" t="s">
        <v>76</v>
      </c>
      <c r="E6" s="11">
        <v>32697.0</v>
      </c>
      <c r="G6" s="1" t="s">
        <v>81</v>
      </c>
      <c r="P6" s="17" t="s">
        <v>82</v>
      </c>
    </row>
    <row r="7">
      <c r="A7" s="1" t="s">
        <v>83</v>
      </c>
      <c r="B7" s="1" t="s">
        <v>84</v>
      </c>
      <c r="C7" s="5" t="s">
        <v>53</v>
      </c>
      <c r="E7" s="11">
        <v>30630.0</v>
      </c>
      <c r="G7" s="1" t="s">
        <v>85</v>
      </c>
    </row>
    <row r="8">
      <c r="A8" s="1" t="s">
        <v>86</v>
      </c>
      <c r="B8" s="1" t="s">
        <v>87</v>
      </c>
      <c r="C8" s="5" t="s">
        <v>76</v>
      </c>
      <c r="E8" s="11">
        <v>31703.0</v>
      </c>
      <c r="G8" s="1" t="s">
        <v>88</v>
      </c>
      <c r="P8" s="17" t="s">
        <v>89</v>
      </c>
    </row>
    <row r="9">
      <c r="A9" s="1" t="s">
        <v>90</v>
      </c>
      <c r="B9" s="1" t="s">
        <v>91</v>
      </c>
      <c r="C9" s="5" t="s">
        <v>76</v>
      </c>
      <c r="E9" s="11">
        <v>32629.0</v>
      </c>
      <c r="G9" s="1" t="s">
        <v>92</v>
      </c>
    </row>
    <row r="10">
      <c r="A10" s="1" t="s">
        <v>93</v>
      </c>
      <c r="B10" s="1" t="s">
        <v>94</v>
      </c>
      <c r="C10" s="5" t="s">
        <v>76</v>
      </c>
      <c r="E10" s="11">
        <v>33480.0</v>
      </c>
      <c r="G10" s="1" t="s">
        <v>95</v>
      </c>
      <c r="P10" s="17" t="s">
        <v>96</v>
      </c>
    </row>
    <row r="11">
      <c r="A11" s="1" t="s">
        <v>97</v>
      </c>
      <c r="B11" s="1" t="s">
        <v>98</v>
      </c>
      <c r="C11" s="5" t="s">
        <v>53</v>
      </c>
      <c r="E11" s="11">
        <v>30660.0</v>
      </c>
      <c r="G11" s="1" t="s">
        <v>99</v>
      </c>
      <c r="P11" s="17" t="s">
        <v>100</v>
      </c>
    </row>
    <row r="12">
      <c r="A12" s="1" t="s">
        <v>101</v>
      </c>
      <c r="B12" s="1" t="s">
        <v>102</v>
      </c>
      <c r="C12" s="5" t="s">
        <v>53</v>
      </c>
      <c r="E12" s="11">
        <v>31062.0</v>
      </c>
      <c r="G12" s="1" t="s">
        <v>103</v>
      </c>
      <c r="P12" s="17" t="s">
        <v>104</v>
      </c>
    </row>
    <row r="13">
      <c r="A13" s="1" t="s">
        <v>105</v>
      </c>
      <c r="B13" s="1" t="s">
        <v>106</v>
      </c>
      <c r="C13" s="5" t="s">
        <v>53</v>
      </c>
      <c r="E13" s="11">
        <v>32202.0</v>
      </c>
      <c r="G13" s="1" t="s">
        <v>107</v>
      </c>
      <c r="P13" s="17" t="s">
        <v>108</v>
      </c>
    </row>
    <row r="14">
      <c r="A14" s="1" t="s">
        <v>109</v>
      </c>
      <c r="B14" s="1" t="s">
        <v>110</v>
      </c>
      <c r="C14" s="5" t="s">
        <v>53</v>
      </c>
      <c r="E14" s="11">
        <v>32273.0</v>
      </c>
      <c r="G14" s="1" t="s">
        <v>111</v>
      </c>
      <c r="P14" s="17" t="s">
        <v>112</v>
      </c>
    </row>
    <row r="15">
      <c r="A15" s="1" t="s">
        <v>113</v>
      </c>
      <c r="B15" s="1" t="s">
        <v>114</v>
      </c>
      <c r="C15" s="5" t="s">
        <v>76</v>
      </c>
      <c r="E15" s="11">
        <v>30976.0</v>
      </c>
      <c r="G15" s="1" t="s">
        <v>115</v>
      </c>
      <c r="P15" s="17" t="s">
        <v>116</v>
      </c>
    </row>
    <row r="16">
      <c r="A16" s="1" t="s">
        <v>117</v>
      </c>
      <c r="B16" s="1" t="s">
        <v>118</v>
      </c>
      <c r="C16" s="3" t="s">
        <v>53</v>
      </c>
      <c r="D16" s="18" t="s">
        <v>119</v>
      </c>
      <c r="E16" s="11">
        <v>33042.0</v>
      </c>
      <c r="F16" s="19" t="s">
        <v>120</v>
      </c>
      <c r="G16" s="1" t="s">
        <v>121</v>
      </c>
      <c r="H16" s="20"/>
      <c r="N16" s="3" t="s">
        <v>47</v>
      </c>
      <c r="P16" s="17" t="s">
        <v>122</v>
      </c>
    </row>
    <row r="17">
      <c r="A17" s="1" t="s">
        <v>123</v>
      </c>
      <c r="B17" s="1" t="s">
        <v>124</v>
      </c>
      <c r="C17" s="5" t="s">
        <v>76</v>
      </c>
      <c r="E17" s="11">
        <v>32551.0</v>
      </c>
      <c r="G17" s="1" t="s">
        <v>125</v>
      </c>
      <c r="P17" s="17" t="s">
        <v>126</v>
      </c>
    </row>
    <row r="18">
      <c r="A18" s="1" t="s">
        <v>127</v>
      </c>
      <c r="B18" s="1" t="s">
        <v>128</v>
      </c>
      <c r="C18" s="5" t="s">
        <v>53</v>
      </c>
      <c r="E18" s="11">
        <v>34075.0</v>
      </c>
      <c r="G18" s="1" t="s">
        <v>129</v>
      </c>
      <c r="P18" s="17" t="s">
        <v>130</v>
      </c>
    </row>
    <row r="19">
      <c r="A19" s="1" t="s">
        <v>131</v>
      </c>
      <c r="B19" s="1" t="s">
        <v>132</v>
      </c>
      <c r="C19" s="5" t="s">
        <v>53</v>
      </c>
      <c r="E19" s="11">
        <v>33665.0</v>
      </c>
      <c r="G19" s="1" t="s">
        <v>133</v>
      </c>
      <c r="P19" s="17" t="s">
        <v>134</v>
      </c>
    </row>
    <row r="20">
      <c r="A20" s="2" t="s">
        <v>135</v>
      </c>
      <c r="B20" s="21" t="s">
        <v>136</v>
      </c>
      <c r="C20" s="3" t="s">
        <v>53</v>
      </c>
      <c r="E20" s="11"/>
      <c r="G20" s="1"/>
      <c r="P20" s="17" t="s">
        <v>137</v>
      </c>
    </row>
    <row r="21">
      <c r="A21" s="1" t="s">
        <v>138</v>
      </c>
      <c r="B21" s="1" t="s">
        <v>139</v>
      </c>
      <c r="C21" s="5" t="s">
        <v>53</v>
      </c>
      <c r="E21" s="11">
        <v>33664.0</v>
      </c>
      <c r="G21" s="1" t="s">
        <v>140</v>
      </c>
      <c r="P21" s="17" t="s">
        <v>141</v>
      </c>
    </row>
    <row r="22">
      <c r="A22" s="1" t="s">
        <v>142</v>
      </c>
      <c r="B22" s="1" t="s">
        <v>143</v>
      </c>
      <c r="C22" s="5" t="s">
        <v>53</v>
      </c>
      <c r="E22" s="11">
        <v>33750.0</v>
      </c>
      <c r="G22" s="1" t="s">
        <v>144</v>
      </c>
      <c r="P22" s="17" t="s">
        <v>145</v>
      </c>
    </row>
    <row r="23">
      <c r="A23" s="1" t="s">
        <v>146</v>
      </c>
      <c r="B23" s="1" t="s">
        <v>147</v>
      </c>
      <c r="C23" s="5" t="s">
        <v>53</v>
      </c>
      <c r="E23" s="11">
        <v>32375.0</v>
      </c>
      <c r="G23" s="1" t="s">
        <v>148</v>
      </c>
      <c r="P23" s="17" t="s">
        <v>149</v>
      </c>
    </row>
    <row r="24">
      <c r="A24" s="1" t="s">
        <v>150</v>
      </c>
      <c r="B24" s="1" t="s">
        <v>151</v>
      </c>
      <c r="C24" s="5" t="s">
        <v>53</v>
      </c>
      <c r="E24" s="11">
        <v>35364.0</v>
      </c>
      <c r="G24" s="1" t="s">
        <v>152</v>
      </c>
      <c r="P24" s="17" t="s">
        <v>153</v>
      </c>
    </row>
    <row r="25">
      <c r="A25" s="1" t="s">
        <v>154</v>
      </c>
      <c r="B25" s="1" t="s">
        <v>155</v>
      </c>
      <c r="C25" s="5" t="s">
        <v>76</v>
      </c>
      <c r="E25" s="11">
        <v>32222.0</v>
      </c>
      <c r="G25" s="1" t="s">
        <v>156</v>
      </c>
      <c r="P25" s="17" t="s">
        <v>157</v>
      </c>
    </row>
    <row r="26">
      <c r="A26" s="1" t="s">
        <v>158</v>
      </c>
      <c r="B26" s="1" t="s">
        <v>159</v>
      </c>
      <c r="C26" s="5" t="s">
        <v>53</v>
      </c>
      <c r="E26" s="11">
        <v>32906.0</v>
      </c>
      <c r="G26" s="1" t="s">
        <v>160</v>
      </c>
      <c r="P26" s="17" t="s">
        <v>161</v>
      </c>
    </row>
    <row r="27">
      <c r="A27" s="1" t="s">
        <v>162</v>
      </c>
      <c r="B27" s="1" t="s">
        <v>163</v>
      </c>
      <c r="C27" s="5" t="s">
        <v>76</v>
      </c>
      <c r="E27" s="11">
        <v>33575.0</v>
      </c>
      <c r="G27" s="1" t="s">
        <v>164</v>
      </c>
      <c r="P27" s="17" t="s">
        <v>165</v>
      </c>
    </row>
    <row r="28">
      <c r="A28" s="1" t="s">
        <v>166</v>
      </c>
      <c r="B28" s="1" t="s">
        <v>167</v>
      </c>
      <c r="C28" s="5" t="s">
        <v>53</v>
      </c>
      <c r="E28" s="11">
        <v>34402.0</v>
      </c>
      <c r="G28" s="1" t="s">
        <v>168</v>
      </c>
      <c r="P28" s="17" t="s">
        <v>169</v>
      </c>
    </row>
    <row r="29">
      <c r="A29" s="1" t="s">
        <v>170</v>
      </c>
      <c r="B29" s="1" t="s">
        <v>171</v>
      </c>
      <c r="C29" s="5" t="s">
        <v>53</v>
      </c>
      <c r="E29" s="11">
        <v>36073.0</v>
      </c>
      <c r="G29" s="1" t="s">
        <v>172</v>
      </c>
      <c r="P29" s="17" t="s">
        <v>173</v>
      </c>
    </row>
    <row r="30">
      <c r="A30" s="1" t="s">
        <v>174</v>
      </c>
      <c r="B30" s="1" t="s">
        <v>175</v>
      </c>
      <c r="C30" s="5" t="s">
        <v>53</v>
      </c>
      <c r="E30" s="11">
        <v>31576.0</v>
      </c>
      <c r="G30" s="1" t="s">
        <v>176</v>
      </c>
      <c r="P30" s="17" t="s">
        <v>177</v>
      </c>
    </row>
    <row r="31">
      <c r="A31" s="1" t="s">
        <v>178</v>
      </c>
      <c r="B31" s="1" t="s">
        <v>179</v>
      </c>
      <c r="C31" s="5" t="s">
        <v>53</v>
      </c>
      <c r="E31" s="11">
        <v>35951.0</v>
      </c>
      <c r="G31" s="1" t="s">
        <v>180</v>
      </c>
      <c r="P31" s="17" t="s">
        <v>181</v>
      </c>
    </row>
    <row r="32">
      <c r="A32" s="1" t="s">
        <v>182</v>
      </c>
      <c r="B32" s="1" t="s">
        <v>183</v>
      </c>
      <c r="C32" s="5" t="s">
        <v>53</v>
      </c>
      <c r="E32" s="11">
        <v>32826.0</v>
      </c>
      <c r="G32" s="1" t="s">
        <v>184</v>
      </c>
      <c r="P32" s="17" t="s">
        <v>185</v>
      </c>
    </row>
    <row r="33">
      <c r="A33" s="1" t="s">
        <v>186</v>
      </c>
      <c r="B33" s="1" t="s">
        <v>187</v>
      </c>
      <c r="C33" s="3" t="s">
        <v>76</v>
      </c>
      <c r="E33" s="11">
        <v>32600.0</v>
      </c>
      <c r="F33" s="19" t="s">
        <v>188</v>
      </c>
      <c r="G33" s="1" t="s">
        <v>189</v>
      </c>
      <c r="H33" s="3" t="s">
        <v>190</v>
      </c>
      <c r="I33" s="3" t="s">
        <v>57</v>
      </c>
      <c r="J33" s="3" t="s">
        <v>191</v>
      </c>
      <c r="K33" s="3" t="s">
        <v>192</v>
      </c>
      <c r="L33" s="3" t="s">
        <v>192</v>
      </c>
      <c r="M33" s="3" t="s">
        <v>61</v>
      </c>
      <c r="N33" s="3" t="s">
        <v>193</v>
      </c>
      <c r="O33" s="3" t="s">
        <v>194</v>
      </c>
      <c r="P33" s="17" t="s">
        <v>195</v>
      </c>
      <c r="Q33" s="3" t="s">
        <v>196</v>
      </c>
      <c r="R33" s="3" t="s">
        <v>197</v>
      </c>
      <c r="S33" s="3" t="s">
        <v>198</v>
      </c>
      <c r="T33" s="3" t="s">
        <v>199</v>
      </c>
      <c r="U33" s="3" t="s">
        <v>200</v>
      </c>
      <c r="V33" s="3" t="s">
        <v>201</v>
      </c>
      <c r="Y33" s="3" t="s">
        <v>50</v>
      </c>
    </row>
    <row r="34">
      <c r="A34" s="2" t="s">
        <v>202</v>
      </c>
      <c r="B34" s="21" t="s">
        <v>203</v>
      </c>
      <c r="C34" s="3" t="s">
        <v>53</v>
      </c>
      <c r="E34" s="11"/>
      <c r="G34" s="5" t="s">
        <v>204</v>
      </c>
    </row>
    <row r="35">
      <c r="A35" s="1" t="s">
        <v>205</v>
      </c>
      <c r="B35" s="1" t="s">
        <v>206</v>
      </c>
      <c r="C35" s="5" t="s">
        <v>76</v>
      </c>
      <c r="E35" s="11">
        <v>32597.0</v>
      </c>
      <c r="G35" s="1" t="s">
        <v>207</v>
      </c>
      <c r="P35" s="17" t="s">
        <v>208</v>
      </c>
    </row>
    <row r="36">
      <c r="A36" s="1" t="s">
        <v>209</v>
      </c>
      <c r="B36" s="1" t="s">
        <v>210</v>
      </c>
      <c r="C36" s="5" t="s">
        <v>76</v>
      </c>
      <c r="E36" s="11">
        <v>32762.0</v>
      </c>
      <c r="G36" s="1" t="s">
        <v>211</v>
      </c>
      <c r="P36" s="17" t="s">
        <v>212</v>
      </c>
    </row>
    <row r="37">
      <c r="A37" s="1" t="s">
        <v>213</v>
      </c>
      <c r="B37" s="1" t="s">
        <v>214</v>
      </c>
      <c r="C37" s="5" t="s">
        <v>76</v>
      </c>
      <c r="E37" s="11">
        <v>31247.0</v>
      </c>
      <c r="G37" s="1" t="s">
        <v>215</v>
      </c>
      <c r="P37" s="17" t="s">
        <v>216</v>
      </c>
    </row>
    <row r="38">
      <c r="A38" s="2" t="s">
        <v>217</v>
      </c>
      <c r="B38" s="1" t="s">
        <v>218</v>
      </c>
      <c r="C38" s="3" t="s">
        <v>53</v>
      </c>
      <c r="E38" s="11"/>
      <c r="G38" s="1"/>
    </row>
    <row r="39">
      <c r="A39" s="1" t="s">
        <v>219</v>
      </c>
      <c r="B39" s="1" t="s">
        <v>220</v>
      </c>
      <c r="C39" s="5" t="s">
        <v>76</v>
      </c>
      <c r="E39" s="11">
        <v>35058.0</v>
      </c>
      <c r="G39" s="1" t="s">
        <v>221</v>
      </c>
      <c r="P39" s="17" t="s">
        <v>222</v>
      </c>
    </row>
    <row r="40">
      <c r="A40" s="1" t="s">
        <v>223</v>
      </c>
      <c r="B40" s="1" t="s">
        <v>224</v>
      </c>
      <c r="C40" s="5" t="s">
        <v>53</v>
      </c>
      <c r="E40" s="11">
        <v>33548.0</v>
      </c>
      <c r="G40" s="1" t="s">
        <v>225</v>
      </c>
      <c r="P40" s="17" t="s">
        <v>226</v>
      </c>
    </row>
    <row r="41">
      <c r="A41" s="1" t="s">
        <v>227</v>
      </c>
      <c r="B41" s="1" t="s">
        <v>228</v>
      </c>
      <c r="C41" s="5" t="s">
        <v>76</v>
      </c>
      <c r="E41" s="11">
        <v>31138.0</v>
      </c>
      <c r="G41" s="1" t="s">
        <v>229</v>
      </c>
      <c r="P41" s="17" t="s">
        <v>230</v>
      </c>
    </row>
    <row r="42">
      <c r="A42" s="1" t="s">
        <v>231</v>
      </c>
      <c r="B42" s="1" t="s">
        <v>232</v>
      </c>
      <c r="C42" s="2" t="s">
        <v>53</v>
      </c>
      <c r="D42" s="1" t="s">
        <v>233</v>
      </c>
      <c r="E42" s="11">
        <v>36646.0</v>
      </c>
      <c r="F42" s="12" t="s">
        <v>234</v>
      </c>
      <c r="G42" s="1" t="s">
        <v>235</v>
      </c>
      <c r="H42" s="2" t="s">
        <v>236</v>
      </c>
      <c r="I42" s="3" t="s">
        <v>237</v>
      </c>
      <c r="J42" s="3" t="s">
        <v>238</v>
      </c>
      <c r="K42" s="3" t="s">
        <v>239</v>
      </c>
      <c r="L42" s="3" t="s">
        <v>240</v>
      </c>
      <c r="M42" s="3" t="s">
        <v>61</v>
      </c>
      <c r="N42" s="3" t="s">
        <v>241</v>
      </c>
      <c r="O42" s="3" t="s">
        <v>242</v>
      </c>
      <c r="P42" s="17" t="s">
        <v>243</v>
      </c>
      <c r="Q42" s="17" t="s">
        <v>244</v>
      </c>
      <c r="R42" s="3" t="s">
        <v>245</v>
      </c>
      <c r="S42" s="3" t="s">
        <v>246</v>
      </c>
      <c r="T42" s="3" t="s">
        <v>247</v>
      </c>
      <c r="U42" s="3" t="s">
        <v>248</v>
      </c>
      <c r="V42" s="3" t="s">
        <v>249</v>
      </c>
      <c r="W42" s="3" t="s">
        <v>250</v>
      </c>
      <c r="X42" s="3" t="s">
        <v>251</v>
      </c>
      <c r="Y42" s="3" t="s">
        <v>50</v>
      </c>
    </row>
    <row r="43">
      <c r="A43" s="1" t="s">
        <v>252</v>
      </c>
      <c r="B43" s="1" t="s">
        <v>253</v>
      </c>
      <c r="C43" s="5" t="s">
        <v>76</v>
      </c>
      <c r="E43" s="11">
        <v>30398.0</v>
      </c>
      <c r="G43" s="1" t="s">
        <v>254</v>
      </c>
    </row>
    <row r="44">
      <c r="A44" s="1" t="s">
        <v>255</v>
      </c>
      <c r="B44" s="1" t="s">
        <v>256</v>
      </c>
      <c r="C44" s="5" t="s">
        <v>76</v>
      </c>
      <c r="E44" s="11">
        <v>33294.0</v>
      </c>
      <c r="G44" s="1" t="s">
        <v>257</v>
      </c>
      <c r="P44" s="17" t="s">
        <v>258</v>
      </c>
    </row>
    <row r="45">
      <c r="A45" s="1" t="s">
        <v>259</v>
      </c>
      <c r="B45" s="1" t="s">
        <v>260</v>
      </c>
      <c r="C45" s="5" t="s">
        <v>53</v>
      </c>
      <c r="E45" s="11">
        <v>32311.0</v>
      </c>
      <c r="G45" s="1" t="s">
        <v>261</v>
      </c>
      <c r="P45" s="17" t="s">
        <v>262</v>
      </c>
    </row>
    <row r="46">
      <c r="A46" s="1" t="s">
        <v>263</v>
      </c>
      <c r="B46" s="1" t="s">
        <v>264</v>
      </c>
      <c r="C46" s="3" t="s">
        <v>53</v>
      </c>
      <c r="E46" s="11">
        <v>32553.0</v>
      </c>
      <c r="F46" s="19" t="s">
        <v>265</v>
      </c>
      <c r="G46" s="1" t="s">
        <v>266</v>
      </c>
      <c r="H46" s="3" t="s">
        <v>190</v>
      </c>
      <c r="I46" s="3" t="s">
        <v>57</v>
      </c>
      <c r="J46" s="3" t="s">
        <v>267</v>
      </c>
      <c r="K46" s="3" t="s">
        <v>268</v>
      </c>
      <c r="L46" s="3" t="s">
        <v>269</v>
      </c>
      <c r="M46" s="3" t="s">
        <v>61</v>
      </c>
      <c r="N46" s="3" t="s">
        <v>270</v>
      </c>
      <c r="O46" s="3" t="s">
        <v>271</v>
      </c>
      <c r="P46" s="17" t="s">
        <v>272</v>
      </c>
      <c r="Q46" s="3" t="s">
        <v>273</v>
      </c>
      <c r="R46" s="3" t="s">
        <v>274</v>
      </c>
      <c r="S46" s="3" t="s">
        <v>275</v>
      </c>
      <c r="T46" s="3" t="s">
        <v>276</v>
      </c>
      <c r="U46" s="3" t="s">
        <v>277</v>
      </c>
      <c r="V46" s="3" t="s">
        <v>278</v>
      </c>
      <c r="W46" s="3" t="s">
        <v>279</v>
      </c>
      <c r="X46" s="3" t="s">
        <v>279</v>
      </c>
      <c r="Y46" s="3" t="s">
        <v>68</v>
      </c>
      <c r="AB46" s="3" t="s">
        <v>280</v>
      </c>
    </row>
    <row r="47">
      <c r="A47" s="1" t="s">
        <v>281</v>
      </c>
      <c r="B47" s="1" t="s">
        <v>282</v>
      </c>
      <c r="C47" s="5" t="s">
        <v>76</v>
      </c>
      <c r="E47" s="11">
        <v>34862.0</v>
      </c>
      <c r="G47" s="2" t="s">
        <v>283</v>
      </c>
      <c r="P47" s="17" t="s">
        <v>284</v>
      </c>
    </row>
    <row r="48">
      <c r="A48" s="1" t="s">
        <v>285</v>
      </c>
      <c r="B48" s="1" t="s">
        <v>286</v>
      </c>
      <c r="C48" s="5" t="s">
        <v>53</v>
      </c>
      <c r="E48" s="11">
        <v>36927.0</v>
      </c>
      <c r="G48" s="1" t="s">
        <v>287</v>
      </c>
      <c r="P48" s="17" t="s">
        <v>288</v>
      </c>
    </row>
    <row r="49">
      <c r="A49" s="1" t="s">
        <v>289</v>
      </c>
      <c r="B49" s="1" t="s">
        <v>290</v>
      </c>
      <c r="C49" s="3" t="s">
        <v>76</v>
      </c>
      <c r="E49" s="11">
        <v>37131.0</v>
      </c>
      <c r="F49" s="19" t="s">
        <v>291</v>
      </c>
      <c r="G49" s="1" t="s">
        <v>292</v>
      </c>
      <c r="H49" s="3" t="s">
        <v>293</v>
      </c>
      <c r="I49" s="3" t="s">
        <v>57</v>
      </c>
      <c r="J49" s="3" t="s">
        <v>294</v>
      </c>
      <c r="K49" s="3" t="s">
        <v>295</v>
      </c>
      <c r="L49" s="3" t="s">
        <v>296</v>
      </c>
      <c r="M49" s="3" t="s">
        <v>61</v>
      </c>
      <c r="N49" s="3" t="s">
        <v>297</v>
      </c>
      <c r="O49" s="3" t="s">
        <v>298</v>
      </c>
      <c r="P49" s="17" t="s">
        <v>299</v>
      </c>
      <c r="R49" s="3" t="s">
        <v>300</v>
      </c>
      <c r="S49" s="3" t="s">
        <v>198</v>
      </c>
      <c r="T49" s="3" t="s">
        <v>301</v>
      </c>
      <c r="U49" s="3" t="s">
        <v>302</v>
      </c>
      <c r="V49" s="3" t="s">
        <v>303</v>
      </c>
      <c r="Y49" s="3" t="s">
        <v>50</v>
      </c>
    </row>
    <row r="50">
      <c r="A50" s="1" t="s">
        <v>304</v>
      </c>
      <c r="B50" s="18" t="s">
        <v>305</v>
      </c>
      <c r="C50" s="3" t="s">
        <v>76</v>
      </c>
      <c r="E50" s="11"/>
      <c r="F50" s="19" t="s">
        <v>306</v>
      </c>
      <c r="G50" s="2" t="s">
        <v>307</v>
      </c>
      <c r="H50" s="3" t="s">
        <v>308</v>
      </c>
      <c r="I50" s="3" t="s">
        <v>237</v>
      </c>
      <c r="J50" s="3" t="s">
        <v>309</v>
      </c>
      <c r="K50" s="3" t="s">
        <v>310</v>
      </c>
      <c r="L50" s="3" t="s">
        <v>311</v>
      </c>
      <c r="M50" s="3" t="s">
        <v>61</v>
      </c>
      <c r="N50" s="3" t="s">
        <v>62</v>
      </c>
      <c r="O50" s="3" t="s">
        <v>312</v>
      </c>
      <c r="P50" s="17" t="s">
        <v>313</v>
      </c>
      <c r="Q50" s="3" t="s">
        <v>314</v>
      </c>
      <c r="R50" s="3" t="s">
        <v>315</v>
      </c>
      <c r="S50" s="3" t="s">
        <v>316</v>
      </c>
      <c r="V50" s="3" t="s">
        <v>317</v>
      </c>
      <c r="Y50" s="3" t="s">
        <v>50</v>
      </c>
    </row>
    <row r="51">
      <c r="A51" s="1" t="s">
        <v>318</v>
      </c>
      <c r="B51" s="18" t="s">
        <v>319</v>
      </c>
      <c r="E51" s="11"/>
      <c r="G51" s="1"/>
    </row>
    <row r="52">
      <c r="A52" s="1" t="s">
        <v>320</v>
      </c>
      <c r="B52" s="1" t="s">
        <v>321</v>
      </c>
      <c r="C52" s="5" t="s">
        <v>53</v>
      </c>
      <c r="E52" s="11">
        <v>36133.0</v>
      </c>
      <c r="G52" s="1" t="s">
        <v>322</v>
      </c>
      <c r="P52" s="17" t="s">
        <v>323</v>
      </c>
    </row>
    <row r="53">
      <c r="A53" s="1" t="s">
        <v>324</v>
      </c>
      <c r="B53" s="1" t="s">
        <v>325</v>
      </c>
      <c r="C53" s="5" t="s">
        <v>76</v>
      </c>
      <c r="E53" s="11">
        <v>36401.0</v>
      </c>
      <c r="G53" s="1" t="s">
        <v>326</v>
      </c>
      <c r="P53" s="17" t="s">
        <v>327</v>
      </c>
    </row>
    <row r="54">
      <c r="A54" s="1" t="s">
        <v>328</v>
      </c>
      <c r="B54" s="1" t="s">
        <v>329</v>
      </c>
      <c r="C54" s="5" t="s">
        <v>53</v>
      </c>
      <c r="E54" s="11">
        <v>33992.0</v>
      </c>
      <c r="G54" s="1" t="s">
        <v>330</v>
      </c>
      <c r="P54" s="17" t="s">
        <v>331</v>
      </c>
    </row>
    <row r="55">
      <c r="A55" s="1" t="s">
        <v>332</v>
      </c>
      <c r="B55" s="1" t="s">
        <v>333</v>
      </c>
      <c r="C55" s="5" t="s">
        <v>53</v>
      </c>
      <c r="E55" s="11">
        <v>32007.0</v>
      </c>
      <c r="G55" s="1" t="s">
        <v>334</v>
      </c>
      <c r="P55" s="17" t="s">
        <v>335</v>
      </c>
    </row>
    <row r="56">
      <c r="A56" s="1" t="s">
        <v>336</v>
      </c>
      <c r="B56" s="1" t="s">
        <v>337</v>
      </c>
      <c r="C56" s="5" t="s">
        <v>53</v>
      </c>
      <c r="E56" s="11">
        <v>36776.0</v>
      </c>
      <c r="G56" s="1" t="s">
        <v>338</v>
      </c>
      <c r="P56" s="22" t="s">
        <v>339</v>
      </c>
    </row>
    <row r="57">
      <c r="A57" s="1" t="s">
        <v>340</v>
      </c>
      <c r="B57" s="1" t="s">
        <v>341</v>
      </c>
      <c r="C57" s="5" t="s">
        <v>76</v>
      </c>
      <c r="E57" s="11">
        <v>32823.0</v>
      </c>
      <c r="G57" s="1" t="s">
        <v>342</v>
      </c>
    </row>
    <row r="58">
      <c r="A58" s="1" t="s">
        <v>343</v>
      </c>
      <c r="B58" s="1" t="s">
        <v>344</v>
      </c>
      <c r="C58" s="5" t="s">
        <v>53</v>
      </c>
      <c r="E58" s="11">
        <v>44853.0</v>
      </c>
      <c r="G58" s="1" t="s">
        <v>345</v>
      </c>
      <c r="P58" s="22" t="s">
        <v>346</v>
      </c>
    </row>
    <row r="59">
      <c r="A59" s="1" t="s">
        <v>347</v>
      </c>
      <c r="B59" s="1" t="s">
        <v>348</v>
      </c>
      <c r="C59" s="5" t="s">
        <v>76</v>
      </c>
      <c r="E59" s="11">
        <v>36750.0</v>
      </c>
      <c r="G59" s="1" t="s">
        <v>349</v>
      </c>
      <c r="P59" s="17" t="s">
        <v>350</v>
      </c>
    </row>
    <row r="60">
      <c r="A60" s="1" t="s">
        <v>351</v>
      </c>
      <c r="B60" s="1" t="s">
        <v>352</v>
      </c>
      <c r="C60" s="5" t="s">
        <v>76</v>
      </c>
      <c r="E60" s="11">
        <v>36487.0</v>
      </c>
      <c r="G60" s="1" t="s">
        <v>353</v>
      </c>
      <c r="P60" s="17" t="s">
        <v>354</v>
      </c>
    </row>
    <row r="61">
      <c r="A61" s="1" t="s">
        <v>355</v>
      </c>
      <c r="B61" s="1" t="s">
        <v>356</v>
      </c>
      <c r="C61" s="5" t="s">
        <v>76</v>
      </c>
      <c r="E61" s="11">
        <v>36768.0</v>
      </c>
      <c r="G61" s="1" t="s">
        <v>357</v>
      </c>
      <c r="P61" s="17" t="s">
        <v>358</v>
      </c>
    </row>
    <row r="62">
      <c r="A62" s="1" t="s">
        <v>359</v>
      </c>
      <c r="B62" s="1" t="s">
        <v>360</v>
      </c>
      <c r="C62" s="5" t="s">
        <v>53</v>
      </c>
      <c r="E62" s="11">
        <v>45475.0</v>
      </c>
      <c r="G62" s="1" t="s">
        <v>361</v>
      </c>
      <c r="P62" s="17" t="s">
        <v>362</v>
      </c>
    </row>
    <row r="63">
      <c r="A63" s="1" t="s">
        <v>363</v>
      </c>
      <c r="B63" s="1" t="s">
        <v>364</v>
      </c>
      <c r="C63" s="5" t="s">
        <v>53</v>
      </c>
      <c r="E63" s="11">
        <v>35035.0</v>
      </c>
      <c r="G63" s="1" t="s">
        <v>365</v>
      </c>
      <c r="P63" s="17" t="s">
        <v>366</v>
      </c>
    </row>
    <row r="64">
      <c r="A64" s="1" t="s">
        <v>367</v>
      </c>
      <c r="B64" s="1" t="s">
        <v>368</v>
      </c>
      <c r="C64" s="5" t="s">
        <v>76</v>
      </c>
      <c r="E64" s="11">
        <v>32240.0</v>
      </c>
      <c r="G64" s="1" t="s">
        <v>369</v>
      </c>
      <c r="P64" s="17" t="s">
        <v>370</v>
      </c>
    </row>
    <row r="65">
      <c r="A65" s="1" t="s">
        <v>371</v>
      </c>
      <c r="B65" s="1" t="s">
        <v>372</v>
      </c>
      <c r="C65" s="1" t="s">
        <v>53</v>
      </c>
      <c r="D65" s="23" t="s">
        <v>373</v>
      </c>
      <c r="E65" s="11">
        <v>36416.0</v>
      </c>
      <c r="F65" s="1"/>
      <c r="G65" s="1" t="s">
        <v>374</v>
      </c>
      <c r="H65" s="5" t="s">
        <v>375</v>
      </c>
      <c r="P65" s="17" t="s">
        <v>376</v>
      </c>
    </row>
    <row r="66">
      <c r="A66" s="1" t="s">
        <v>377</v>
      </c>
      <c r="B66" s="1" t="s">
        <v>378</v>
      </c>
      <c r="C66" s="5" t="s">
        <v>76</v>
      </c>
      <c r="E66" s="11">
        <v>32942.0</v>
      </c>
      <c r="G66" s="1" t="s">
        <v>379</v>
      </c>
      <c r="P66" s="17" t="s">
        <v>380</v>
      </c>
    </row>
    <row r="67">
      <c r="A67" s="1" t="s">
        <v>381</v>
      </c>
      <c r="B67" s="1" t="s">
        <v>382</v>
      </c>
      <c r="C67" s="3" t="s">
        <v>53</v>
      </c>
      <c r="E67" s="11">
        <v>36633.0</v>
      </c>
      <c r="F67" s="19" t="s">
        <v>383</v>
      </c>
      <c r="G67" s="1" t="s">
        <v>384</v>
      </c>
      <c r="H67" s="3" t="s">
        <v>236</v>
      </c>
      <c r="I67" s="3" t="s">
        <v>57</v>
      </c>
      <c r="J67" s="3" t="s">
        <v>385</v>
      </c>
      <c r="K67" s="3" t="s">
        <v>268</v>
      </c>
      <c r="L67" s="3" t="s">
        <v>386</v>
      </c>
      <c r="M67" s="3" t="s">
        <v>61</v>
      </c>
      <c r="N67" s="3" t="s">
        <v>193</v>
      </c>
      <c r="O67" s="3" t="s">
        <v>387</v>
      </c>
      <c r="P67" s="17" t="s">
        <v>388</v>
      </c>
      <c r="Q67" s="3" t="s">
        <v>389</v>
      </c>
      <c r="R67" s="3" t="s">
        <v>390</v>
      </c>
      <c r="S67" s="3" t="s">
        <v>391</v>
      </c>
      <c r="T67" s="3" t="s">
        <v>392</v>
      </c>
      <c r="U67" s="3" t="s">
        <v>393</v>
      </c>
      <c r="V67" s="3" t="s">
        <v>394</v>
      </c>
      <c r="W67" s="3" t="s">
        <v>395</v>
      </c>
      <c r="X67" s="3" t="s">
        <v>251</v>
      </c>
      <c r="Y67" s="3" t="s">
        <v>50</v>
      </c>
    </row>
    <row r="68">
      <c r="A68" s="1" t="s">
        <v>396</v>
      </c>
      <c r="B68" s="1" t="s">
        <v>397</v>
      </c>
      <c r="C68" s="5" t="s">
        <v>53</v>
      </c>
      <c r="E68" s="11">
        <v>30389.0</v>
      </c>
      <c r="G68" s="1" t="s">
        <v>398</v>
      </c>
    </row>
    <row r="69">
      <c r="A69" s="1" t="s">
        <v>399</v>
      </c>
      <c r="B69" s="1" t="s">
        <v>400</v>
      </c>
      <c r="C69" s="5" t="s">
        <v>76</v>
      </c>
      <c r="E69" s="11">
        <v>33875.0</v>
      </c>
      <c r="G69" s="1" t="s">
        <v>401</v>
      </c>
      <c r="P69" s="17" t="s">
        <v>402</v>
      </c>
    </row>
    <row r="70">
      <c r="A70" s="1" t="s">
        <v>403</v>
      </c>
      <c r="B70" s="1" t="s">
        <v>404</v>
      </c>
      <c r="C70" s="5" t="s">
        <v>53</v>
      </c>
      <c r="E70" s="11">
        <v>31085.0</v>
      </c>
      <c r="G70" s="1" t="s">
        <v>405</v>
      </c>
      <c r="P70" s="17" t="s">
        <v>406</v>
      </c>
    </row>
    <row r="71">
      <c r="A71" s="1" t="s">
        <v>407</v>
      </c>
      <c r="B71" s="1" t="s">
        <v>408</v>
      </c>
      <c r="C71" s="5" t="s">
        <v>53</v>
      </c>
      <c r="E71" s="11">
        <v>33175.0</v>
      </c>
      <c r="G71" s="1" t="s">
        <v>409</v>
      </c>
      <c r="P71" s="17" t="s">
        <v>410</v>
      </c>
    </row>
    <row r="72">
      <c r="A72" s="2" t="s">
        <v>411</v>
      </c>
      <c r="B72" s="1" t="s">
        <v>412</v>
      </c>
      <c r="E72" s="11"/>
      <c r="G72" s="1"/>
      <c r="P72" s="17" t="s">
        <v>413</v>
      </c>
    </row>
    <row r="73">
      <c r="A73" s="1" t="s">
        <v>414</v>
      </c>
      <c r="B73" s="1" t="s">
        <v>415</v>
      </c>
      <c r="C73" s="5" t="s">
        <v>76</v>
      </c>
      <c r="E73" s="11">
        <v>36983.0</v>
      </c>
      <c r="G73" s="1" t="s">
        <v>416</v>
      </c>
      <c r="P73" s="17" t="s">
        <v>417</v>
      </c>
    </row>
    <row r="74">
      <c r="A74" s="1" t="s">
        <v>418</v>
      </c>
      <c r="B74" s="1" t="s">
        <v>419</v>
      </c>
      <c r="C74" s="5" t="s">
        <v>76</v>
      </c>
      <c r="E74" s="11">
        <v>37133.0</v>
      </c>
      <c r="G74" s="1" t="s">
        <v>420</v>
      </c>
      <c r="P74" s="17" t="s">
        <v>421</v>
      </c>
    </row>
    <row r="75">
      <c r="A75" s="1" t="s">
        <v>422</v>
      </c>
      <c r="B75" s="1" t="s">
        <v>423</v>
      </c>
      <c r="C75" s="5" t="s">
        <v>76</v>
      </c>
      <c r="E75" s="11">
        <v>36769.0</v>
      </c>
      <c r="G75" s="1" t="s">
        <v>424</v>
      </c>
      <c r="P75" s="17" t="s">
        <v>425</v>
      </c>
    </row>
    <row r="76">
      <c r="A76" s="1" t="s">
        <v>426</v>
      </c>
      <c r="B76" s="1" t="s">
        <v>427</v>
      </c>
      <c r="C76" s="5" t="s">
        <v>76</v>
      </c>
      <c r="E76" s="11">
        <v>36248.0</v>
      </c>
      <c r="G76" s="1" t="s">
        <v>428</v>
      </c>
      <c r="P76" s="17" t="s">
        <v>429</v>
      </c>
    </row>
    <row r="77">
      <c r="A77" s="1" t="s">
        <v>430</v>
      </c>
      <c r="B77" s="1" t="s">
        <v>431</v>
      </c>
      <c r="C77" s="5" t="s">
        <v>53</v>
      </c>
      <c r="E77" s="11">
        <v>35910.0</v>
      </c>
      <c r="G77" s="1" t="s">
        <v>432</v>
      </c>
      <c r="P77" s="17" t="s">
        <v>433</v>
      </c>
    </row>
    <row r="78">
      <c r="A78" s="1" t="s">
        <v>434</v>
      </c>
      <c r="B78" s="1" t="s">
        <v>435</v>
      </c>
      <c r="C78" s="3" t="s">
        <v>53</v>
      </c>
      <c r="E78" s="11">
        <v>36082.0</v>
      </c>
      <c r="F78" s="19" t="s">
        <v>436</v>
      </c>
      <c r="G78" s="1" t="s">
        <v>437</v>
      </c>
      <c r="H78" s="3" t="s">
        <v>438</v>
      </c>
      <c r="I78" s="3" t="s">
        <v>57</v>
      </c>
      <c r="J78" s="3" t="s">
        <v>439</v>
      </c>
      <c r="K78" s="3" t="s">
        <v>440</v>
      </c>
      <c r="L78" s="3" t="s">
        <v>296</v>
      </c>
      <c r="M78" s="3" t="s">
        <v>61</v>
      </c>
      <c r="N78" s="3" t="s">
        <v>62</v>
      </c>
      <c r="O78" s="3" t="s">
        <v>441</v>
      </c>
      <c r="P78" s="17" t="s">
        <v>442</v>
      </c>
      <c r="Q78" s="3" t="s">
        <v>443</v>
      </c>
      <c r="R78" s="3" t="s">
        <v>444</v>
      </c>
      <c r="S78" s="3" t="s">
        <v>445</v>
      </c>
      <c r="T78" s="3" t="s">
        <v>446</v>
      </c>
      <c r="U78" s="3" t="s">
        <v>447</v>
      </c>
      <c r="V78" s="3" t="s">
        <v>448</v>
      </c>
      <c r="Y78" s="3" t="s">
        <v>50</v>
      </c>
    </row>
    <row r="79">
      <c r="A79" s="1" t="s">
        <v>449</v>
      </c>
      <c r="B79" s="1" t="s">
        <v>450</v>
      </c>
      <c r="C79" s="5" t="s">
        <v>53</v>
      </c>
      <c r="E79" s="11">
        <v>34802.0</v>
      </c>
      <c r="G79" s="1" t="s">
        <v>451</v>
      </c>
      <c r="P79" s="17" t="s">
        <v>452</v>
      </c>
    </row>
    <row r="80">
      <c r="A80" s="1" t="s">
        <v>453</v>
      </c>
      <c r="B80" s="1" t="s">
        <v>454</v>
      </c>
      <c r="C80" s="3" t="s">
        <v>53</v>
      </c>
      <c r="E80" s="11">
        <v>36641.0</v>
      </c>
      <c r="F80" s="19" t="s">
        <v>455</v>
      </c>
      <c r="G80" s="1" t="s">
        <v>456</v>
      </c>
      <c r="H80" s="3" t="s">
        <v>236</v>
      </c>
      <c r="I80" s="3" t="s">
        <v>57</v>
      </c>
      <c r="J80" s="3" t="s">
        <v>58</v>
      </c>
      <c r="K80" s="3" t="s">
        <v>457</v>
      </c>
      <c r="L80" s="3" t="s">
        <v>458</v>
      </c>
      <c r="M80" s="3" t="s">
        <v>61</v>
      </c>
      <c r="N80" s="3" t="s">
        <v>459</v>
      </c>
      <c r="O80" s="3" t="s">
        <v>460</v>
      </c>
      <c r="P80" s="17" t="s">
        <v>461</v>
      </c>
      <c r="R80" s="3" t="s">
        <v>462</v>
      </c>
      <c r="S80" s="3" t="s">
        <v>463</v>
      </c>
      <c r="T80" s="3" t="s">
        <v>464</v>
      </c>
      <c r="U80" s="3" t="s">
        <v>465</v>
      </c>
      <c r="Y80" s="3" t="s">
        <v>50</v>
      </c>
    </row>
    <row r="81">
      <c r="A81" s="1" t="s">
        <v>466</v>
      </c>
      <c r="B81" s="1" t="s">
        <v>467</v>
      </c>
      <c r="C81" s="5" t="s">
        <v>53</v>
      </c>
      <c r="E81" s="11">
        <v>36913.0</v>
      </c>
      <c r="G81" s="1" t="s">
        <v>468</v>
      </c>
      <c r="P81" s="17" t="s">
        <v>469</v>
      </c>
    </row>
    <row r="82">
      <c r="A82" s="1" t="s">
        <v>470</v>
      </c>
      <c r="B82" s="24" t="s">
        <v>471</v>
      </c>
      <c r="C82" s="24" t="s">
        <v>53</v>
      </c>
      <c r="D82" s="24" t="s">
        <v>472</v>
      </c>
      <c r="E82" s="25">
        <v>37050.0</v>
      </c>
      <c r="F82" s="24">
        <v>6.285601029298E12</v>
      </c>
      <c r="G82" s="26" t="s">
        <v>473</v>
      </c>
      <c r="H82" s="24" t="s">
        <v>474</v>
      </c>
      <c r="I82" s="24" t="s">
        <v>57</v>
      </c>
      <c r="J82" s="24" t="s">
        <v>475</v>
      </c>
      <c r="K82" s="24"/>
      <c r="L82" s="24"/>
      <c r="P82" s="17" t="s">
        <v>476</v>
      </c>
    </row>
    <row r="83">
      <c r="A83" s="1" t="s">
        <v>477</v>
      </c>
      <c r="B83" s="27" t="s">
        <v>478</v>
      </c>
      <c r="C83" s="28" t="s">
        <v>53</v>
      </c>
      <c r="D83" s="28" t="s">
        <v>479</v>
      </c>
      <c r="E83" s="29">
        <v>35334.0</v>
      </c>
      <c r="F83" s="30">
        <v>6.281911654518E12</v>
      </c>
      <c r="G83" s="15" t="s">
        <v>480</v>
      </c>
      <c r="H83" s="28" t="s">
        <v>481</v>
      </c>
      <c r="I83" s="28" t="s">
        <v>57</v>
      </c>
      <c r="J83" s="27" t="s">
        <v>482</v>
      </c>
      <c r="K83" s="31"/>
      <c r="L83" s="31"/>
      <c r="M83" s="31"/>
      <c r="N83" s="32" t="s">
        <v>483</v>
      </c>
      <c r="O83" s="32" t="s">
        <v>484</v>
      </c>
      <c r="P83" s="33" t="s">
        <v>485</v>
      </c>
      <c r="Q83" s="33" t="s">
        <v>486</v>
      </c>
      <c r="R83" s="32"/>
      <c r="S83" s="32" t="s">
        <v>487</v>
      </c>
      <c r="T83" s="32" t="s">
        <v>488</v>
      </c>
      <c r="U83" s="32" t="s">
        <v>489</v>
      </c>
      <c r="V83" s="32" t="s">
        <v>490</v>
      </c>
      <c r="W83" s="32" t="s">
        <v>491</v>
      </c>
      <c r="X83" s="32" t="s">
        <v>492</v>
      </c>
      <c r="Y83" s="32" t="s">
        <v>493</v>
      </c>
      <c r="Z83" s="31"/>
      <c r="AA83" s="31"/>
      <c r="AB83" s="31"/>
      <c r="AC83" s="31"/>
      <c r="AD83" s="31"/>
      <c r="AE83" s="32" t="s">
        <v>494</v>
      </c>
    </row>
    <row r="84">
      <c r="A84" s="1" t="s">
        <v>495</v>
      </c>
      <c r="B84" s="24" t="s">
        <v>496</v>
      </c>
      <c r="C84" s="24" t="s">
        <v>76</v>
      </c>
      <c r="D84" s="24" t="s">
        <v>497</v>
      </c>
      <c r="E84" s="34">
        <v>33252.0</v>
      </c>
      <c r="F84" s="24">
        <v>6.285694048865E12</v>
      </c>
      <c r="G84" s="26" t="s">
        <v>498</v>
      </c>
      <c r="H84" s="24" t="s">
        <v>499</v>
      </c>
      <c r="I84" s="24" t="s">
        <v>57</v>
      </c>
      <c r="J84" s="24" t="s">
        <v>309</v>
      </c>
      <c r="K84" s="24" t="s">
        <v>500</v>
      </c>
      <c r="L84" s="24" t="s">
        <v>501</v>
      </c>
    </row>
    <row r="85">
      <c r="A85" s="1" t="s">
        <v>502</v>
      </c>
      <c r="B85" s="5" t="s">
        <v>503</v>
      </c>
      <c r="C85" s="5" t="s">
        <v>76</v>
      </c>
      <c r="D85" s="5" t="s">
        <v>504</v>
      </c>
      <c r="E85" s="35">
        <v>35613.0</v>
      </c>
      <c r="F85" s="5">
        <v>6.285342117847E12</v>
      </c>
      <c r="G85" s="1" t="s">
        <v>505</v>
      </c>
      <c r="H85" s="5" t="s">
        <v>481</v>
      </c>
      <c r="I85" s="5" t="s">
        <v>57</v>
      </c>
      <c r="J85" s="5" t="s">
        <v>506</v>
      </c>
    </row>
    <row r="86">
      <c r="A86" s="1" t="s">
        <v>507</v>
      </c>
      <c r="B86" s="5" t="s">
        <v>508</v>
      </c>
      <c r="C86" s="5" t="s">
        <v>53</v>
      </c>
      <c r="D86" s="3" t="s">
        <v>509</v>
      </c>
      <c r="E86" s="35">
        <v>35810.0</v>
      </c>
      <c r="F86" s="5">
        <v>6.282281478969E12</v>
      </c>
      <c r="G86" s="1" t="s">
        <v>510</v>
      </c>
      <c r="H86" s="5" t="s">
        <v>308</v>
      </c>
      <c r="I86" s="5" t="s">
        <v>57</v>
      </c>
      <c r="J86" s="5" t="s">
        <v>511</v>
      </c>
    </row>
    <row r="87">
      <c r="A87" s="1" t="s">
        <v>512</v>
      </c>
      <c r="B87" s="5" t="s">
        <v>513</v>
      </c>
      <c r="C87" s="5" t="s">
        <v>53</v>
      </c>
      <c r="D87" s="5" t="s">
        <v>514</v>
      </c>
      <c r="E87" s="35">
        <v>35860.0</v>
      </c>
      <c r="F87" s="5">
        <v>6.281326854935E12</v>
      </c>
      <c r="G87" s="1" t="s">
        <v>515</v>
      </c>
      <c r="H87" s="5" t="s">
        <v>516</v>
      </c>
      <c r="I87" s="5" t="s">
        <v>57</v>
      </c>
      <c r="J87" s="5" t="s">
        <v>517</v>
      </c>
    </row>
    <row r="88">
      <c r="A88" s="1" t="s">
        <v>518</v>
      </c>
      <c r="B88" s="5" t="s">
        <v>519</v>
      </c>
      <c r="C88" s="5" t="s">
        <v>53</v>
      </c>
      <c r="D88" s="5" t="s">
        <v>520</v>
      </c>
      <c r="E88" s="36">
        <v>37103.0</v>
      </c>
      <c r="F88" s="5">
        <v>6.285723234643E12</v>
      </c>
      <c r="G88" s="1" t="s">
        <v>521</v>
      </c>
      <c r="H88" s="5" t="s">
        <v>474</v>
      </c>
      <c r="I88" s="5" t="s">
        <v>57</v>
      </c>
      <c r="J88" s="5" t="s">
        <v>522</v>
      </c>
      <c r="K88" s="5" t="s">
        <v>523</v>
      </c>
      <c r="L88" s="5" t="s">
        <v>524</v>
      </c>
    </row>
    <row r="89">
      <c r="A89" s="1" t="s">
        <v>525</v>
      </c>
      <c r="B89" s="5" t="s">
        <v>526</v>
      </c>
      <c r="C89" s="5" t="s">
        <v>53</v>
      </c>
      <c r="D89" s="5" t="s">
        <v>527</v>
      </c>
      <c r="E89" s="36">
        <v>37042.0</v>
      </c>
      <c r="F89" s="5">
        <v>6.282255897662E12</v>
      </c>
      <c r="G89" s="1" t="s">
        <v>528</v>
      </c>
      <c r="H89" s="5" t="s">
        <v>293</v>
      </c>
      <c r="I89" s="5" t="s">
        <v>57</v>
      </c>
      <c r="J89" s="5" t="s">
        <v>517</v>
      </c>
      <c r="K89" s="5" t="s">
        <v>529</v>
      </c>
      <c r="L89" s="5" t="s">
        <v>530</v>
      </c>
    </row>
    <row r="90">
      <c r="A90" s="1" t="s">
        <v>531</v>
      </c>
      <c r="B90" s="5" t="s">
        <v>532</v>
      </c>
      <c r="C90" s="5" t="s">
        <v>76</v>
      </c>
      <c r="D90" s="5" t="s">
        <v>533</v>
      </c>
      <c r="E90" s="35">
        <v>33366.0</v>
      </c>
      <c r="F90" s="5">
        <v>6.281352080513E12</v>
      </c>
      <c r="G90" s="1" t="s">
        <v>534</v>
      </c>
      <c r="H90" s="5" t="s">
        <v>499</v>
      </c>
      <c r="I90" s="5" t="s">
        <v>57</v>
      </c>
      <c r="J90" s="5" t="s">
        <v>58</v>
      </c>
    </row>
    <row r="91">
      <c r="A91" s="1" t="s">
        <v>535</v>
      </c>
      <c r="B91" s="5" t="s">
        <v>536</v>
      </c>
      <c r="C91" s="5" t="s">
        <v>76</v>
      </c>
      <c r="D91" s="5" t="s">
        <v>537</v>
      </c>
      <c r="E91" s="36">
        <v>37318.0</v>
      </c>
      <c r="F91" s="5">
        <v>6.281286830303E12</v>
      </c>
      <c r="G91" s="1" t="s">
        <v>538</v>
      </c>
      <c r="H91" s="5" t="s">
        <v>293</v>
      </c>
      <c r="I91" s="5" t="s">
        <v>57</v>
      </c>
      <c r="J91" s="5" t="s">
        <v>506</v>
      </c>
      <c r="K91" s="5" t="s">
        <v>539</v>
      </c>
      <c r="L91" s="5" t="s">
        <v>540</v>
      </c>
    </row>
    <row r="92">
      <c r="A92" s="1" t="s">
        <v>541</v>
      </c>
      <c r="B92" s="5" t="s">
        <v>542</v>
      </c>
      <c r="C92" s="5" t="s">
        <v>76</v>
      </c>
      <c r="D92" s="5" t="s">
        <v>537</v>
      </c>
      <c r="E92" s="36">
        <v>37647.0</v>
      </c>
      <c r="F92" s="5">
        <v>6.281283232601E12</v>
      </c>
      <c r="G92" s="1" t="s">
        <v>543</v>
      </c>
      <c r="H92" s="5" t="s">
        <v>544</v>
      </c>
      <c r="I92" s="5" t="s">
        <v>57</v>
      </c>
      <c r="J92" s="5" t="s">
        <v>545</v>
      </c>
      <c r="K92" s="5" t="s">
        <v>546</v>
      </c>
      <c r="L92" s="5" t="s">
        <v>547</v>
      </c>
    </row>
    <row r="93">
      <c r="A93" s="1" t="s">
        <v>548</v>
      </c>
      <c r="B93" s="5" t="s">
        <v>549</v>
      </c>
      <c r="C93" s="5" t="s">
        <v>76</v>
      </c>
      <c r="D93" s="5" t="s">
        <v>271</v>
      </c>
      <c r="E93" s="35">
        <v>35346.0</v>
      </c>
      <c r="F93" s="5">
        <v>6.38310015404E12</v>
      </c>
      <c r="G93" s="1" t="s">
        <v>550</v>
      </c>
      <c r="H93" s="5" t="s">
        <v>308</v>
      </c>
      <c r="I93" s="5" t="s">
        <v>57</v>
      </c>
      <c r="J93" s="5" t="s">
        <v>267</v>
      </c>
    </row>
    <row r="94">
      <c r="A94" s="1" t="s">
        <v>551</v>
      </c>
      <c r="B94" s="5" t="s">
        <v>552</v>
      </c>
      <c r="C94" s="5" t="s">
        <v>76</v>
      </c>
      <c r="D94" s="5" t="s">
        <v>553</v>
      </c>
      <c r="E94" s="36">
        <v>37013.0</v>
      </c>
      <c r="F94" s="5">
        <v>6.281779689036E12</v>
      </c>
      <c r="G94" s="1" t="s">
        <v>554</v>
      </c>
      <c r="H94" s="5" t="s">
        <v>293</v>
      </c>
      <c r="I94" s="5" t="s">
        <v>57</v>
      </c>
      <c r="J94" s="5" t="s">
        <v>555</v>
      </c>
      <c r="K94" s="5" t="s">
        <v>556</v>
      </c>
      <c r="L94" s="5" t="s">
        <v>557</v>
      </c>
    </row>
    <row r="95">
      <c r="A95" s="1" t="s">
        <v>558</v>
      </c>
      <c r="B95" s="5" t="s">
        <v>559</v>
      </c>
      <c r="C95" s="5" t="s">
        <v>53</v>
      </c>
      <c r="D95" s="5" t="s">
        <v>560</v>
      </c>
      <c r="E95" s="36">
        <v>36601.0</v>
      </c>
      <c r="F95" s="5">
        <v>6.281330744313E12</v>
      </c>
      <c r="G95" s="1" t="s">
        <v>561</v>
      </c>
      <c r="H95" s="5" t="s">
        <v>516</v>
      </c>
      <c r="I95" s="5" t="s">
        <v>562</v>
      </c>
      <c r="J95" s="5" t="s">
        <v>563</v>
      </c>
      <c r="K95" s="5" t="s">
        <v>529</v>
      </c>
      <c r="L95" s="5" t="s">
        <v>564</v>
      </c>
    </row>
    <row r="96">
      <c r="A96" s="1" t="s">
        <v>565</v>
      </c>
      <c r="B96" s="5" t="s">
        <v>566</v>
      </c>
      <c r="C96" s="5" t="s">
        <v>76</v>
      </c>
      <c r="D96" s="5" t="s">
        <v>567</v>
      </c>
      <c r="E96" s="36">
        <v>37362.0</v>
      </c>
      <c r="F96" s="5">
        <v>6.287877687979E12</v>
      </c>
      <c r="G96" s="1" t="s">
        <v>568</v>
      </c>
      <c r="H96" s="5" t="s">
        <v>293</v>
      </c>
      <c r="I96" s="5" t="s">
        <v>57</v>
      </c>
      <c r="J96" s="5" t="s">
        <v>569</v>
      </c>
      <c r="K96" s="5" t="s">
        <v>539</v>
      </c>
      <c r="L96" s="5" t="s">
        <v>570</v>
      </c>
    </row>
    <row r="97">
      <c r="A97" s="1" t="s">
        <v>571</v>
      </c>
      <c r="B97" s="5" t="s">
        <v>572</v>
      </c>
      <c r="C97" s="5" t="s">
        <v>76</v>
      </c>
      <c r="D97" s="5" t="s">
        <v>573</v>
      </c>
      <c r="E97" s="36">
        <v>33757.0</v>
      </c>
      <c r="F97" s="5">
        <v>6.287778512612E12</v>
      </c>
      <c r="G97" s="1" t="s">
        <v>574</v>
      </c>
      <c r="H97" s="5" t="s">
        <v>575</v>
      </c>
      <c r="I97" s="5" t="s">
        <v>57</v>
      </c>
      <c r="J97" s="5" t="s">
        <v>576</v>
      </c>
      <c r="K97" s="5" t="s">
        <v>523</v>
      </c>
      <c r="L97" s="5" t="s">
        <v>577</v>
      </c>
    </row>
    <row r="98">
      <c r="A98" s="1" t="s">
        <v>578</v>
      </c>
      <c r="B98" s="5" t="s">
        <v>579</v>
      </c>
      <c r="C98" s="5" t="s">
        <v>53</v>
      </c>
      <c r="D98" s="5" t="s">
        <v>504</v>
      </c>
      <c r="E98" s="36">
        <v>33452.0</v>
      </c>
      <c r="F98" s="5">
        <v>6.282291513675E12</v>
      </c>
      <c r="G98" s="1" t="s">
        <v>580</v>
      </c>
      <c r="H98" s="5" t="s">
        <v>575</v>
      </c>
      <c r="I98" s="5" t="s">
        <v>57</v>
      </c>
      <c r="J98" s="5" t="s">
        <v>581</v>
      </c>
      <c r="K98" s="5" t="s">
        <v>582</v>
      </c>
      <c r="L98" s="5" t="s">
        <v>582</v>
      </c>
    </row>
    <row r="99">
      <c r="A99" s="1" t="s">
        <v>583</v>
      </c>
      <c r="B99" s="5" t="s">
        <v>584</v>
      </c>
      <c r="C99" s="5" t="s">
        <v>53</v>
      </c>
      <c r="D99" s="5" t="s">
        <v>585</v>
      </c>
      <c r="E99" s="35">
        <v>37024.0</v>
      </c>
      <c r="F99" s="5">
        <v>6.28996668479E11</v>
      </c>
      <c r="G99" s="1" t="s">
        <v>586</v>
      </c>
      <c r="H99" s="5" t="s">
        <v>293</v>
      </c>
      <c r="I99" s="5" t="s">
        <v>57</v>
      </c>
      <c r="J99" s="5" t="s">
        <v>555</v>
      </c>
    </row>
    <row r="100">
      <c r="A100" s="1" t="s">
        <v>587</v>
      </c>
      <c r="B100" s="5" t="s">
        <v>588</v>
      </c>
      <c r="C100" s="5" t="s">
        <v>76</v>
      </c>
      <c r="D100" s="5" t="s">
        <v>537</v>
      </c>
      <c r="E100" s="36">
        <v>37880.0</v>
      </c>
      <c r="F100" s="5">
        <v>6.289506332173E12</v>
      </c>
      <c r="G100" s="1" t="s">
        <v>589</v>
      </c>
      <c r="H100" s="5" t="s">
        <v>544</v>
      </c>
      <c r="I100" s="5" t="s">
        <v>57</v>
      </c>
      <c r="J100" s="5" t="s">
        <v>590</v>
      </c>
      <c r="K100" s="5" t="s">
        <v>591</v>
      </c>
      <c r="L100" s="5" t="s">
        <v>592</v>
      </c>
    </row>
    <row r="101">
      <c r="A101" s="1" t="s">
        <v>593</v>
      </c>
      <c r="B101" s="5" t="s">
        <v>594</v>
      </c>
      <c r="C101" s="5" t="s">
        <v>53</v>
      </c>
      <c r="D101" s="5" t="s">
        <v>595</v>
      </c>
      <c r="E101" s="37" t="s">
        <v>596</v>
      </c>
      <c r="F101" s="5">
        <v>6.281217124506E12</v>
      </c>
      <c r="G101" s="1" t="s">
        <v>597</v>
      </c>
      <c r="H101" s="5" t="s">
        <v>293</v>
      </c>
      <c r="I101" s="5" t="s">
        <v>57</v>
      </c>
      <c r="J101" s="5" t="s">
        <v>506</v>
      </c>
    </row>
    <row r="102">
      <c r="A102" s="1" t="s">
        <v>598</v>
      </c>
      <c r="B102" s="5" t="s">
        <v>599</v>
      </c>
      <c r="C102" s="5" t="s">
        <v>76</v>
      </c>
      <c r="D102" s="5" t="s">
        <v>600</v>
      </c>
      <c r="E102" s="35">
        <v>37140.0</v>
      </c>
      <c r="F102" s="5">
        <v>6.282285007967E12</v>
      </c>
      <c r="G102" s="1" t="s">
        <v>601</v>
      </c>
      <c r="H102" s="5" t="s">
        <v>293</v>
      </c>
      <c r="I102" s="5" t="s">
        <v>57</v>
      </c>
      <c r="J102" s="5" t="s">
        <v>506</v>
      </c>
    </row>
    <row r="103">
      <c r="A103" s="1" t="s">
        <v>602</v>
      </c>
      <c r="B103" s="5" t="s">
        <v>603</v>
      </c>
      <c r="C103" s="5" t="s">
        <v>53</v>
      </c>
      <c r="D103" s="5" t="s">
        <v>472</v>
      </c>
      <c r="E103" s="36">
        <v>37516.0</v>
      </c>
      <c r="F103" s="5">
        <v>6.28585211656E12</v>
      </c>
      <c r="G103" s="1" t="s">
        <v>604</v>
      </c>
      <c r="H103" s="5" t="s">
        <v>544</v>
      </c>
      <c r="I103" s="5" t="s">
        <v>57</v>
      </c>
      <c r="J103" s="5" t="s">
        <v>475</v>
      </c>
      <c r="K103" s="5" t="s">
        <v>529</v>
      </c>
      <c r="L103" s="5" t="s">
        <v>592</v>
      </c>
    </row>
    <row r="104">
      <c r="A104" s="1" t="s">
        <v>605</v>
      </c>
      <c r="B104" s="5" t="s">
        <v>606</v>
      </c>
      <c r="C104" s="5" t="s">
        <v>53</v>
      </c>
      <c r="D104" s="5" t="s">
        <v>271</v>
      </c>
      <c r="E104" s="35">
        <v>36841.0</v>
      </c>
      <c r="F104" s="5">
        <v>6.287702498032E12</v>
      </c>
      <c r="G104" s="1" t="s">
        <v>607</v>
      </c>
      <c r="H104" s="5" t="s">
        <v>293</v>
      </c>
      <c r="I104" s="5" t="s">
        <v>57</v>
      </c>
      <c r="J104" s="5" t="s">
        <v>608</v>
      </c>
    </row>
    <row r="105">
      <c r="A105" s="1" t="s">
        <v>609</v>
      </c>
      <c r="B105" s="5" t="s">
        <v>610</v>
      </c>
      <c r="C105" s="5" t="s">
        <v>76</v>
      </c>
      <c r="D105" s="5" t="s">
        <v>611</v>
      </c>
      <c r="E105" s="36">
        <v>35415.0</v>
      </c>
      <c r="F105" s="5">
        <v>6.285335997646E12</v>
      </c>
      <c r="G105" s="1" t="s">
        <v>612</v>
      </c>
      <c r="H105" s="5" t="s">
        <v>481</v>
      </c>
      <c r="I105" s="5" t="s">
        <v>57</v>
      </c>
      <c r="J105" s="5" t="s">
        <v>613</v>
      </c>
      <c r="K105" s="5" t="s">
        <v>614</v>
      </c>
      <c r="L105" s="5" t="s">
        <v>615</v>
      </c>
    </row>
    <row r="106">
      <c r="A106" s="1" t="s">
        <v>616</v>
      </c>
      <c r="B106" s="5" t="s">
        <v>617</v>
      </c>
      <c r="C106" s="5" t="s">
        <v>53</v>
      </c>
      <c r="D106" s="5" t="s">
        <v>618</v>
      </c>
      <c r="E106" s="35">
        <v>35167.0</v>
      </c>
      <c r="F106" s="5">
        <v>6.282135334212E12</v>
      </c>
      <c r="G106" s="1" t="s">
        <v>619</v>
      </c>
      <c r="H106" s="5" t="s">
        <v>308</v>
      </c>
      <c r="I106" s="5" t="s">
        <v>562</v>
      </c>
      <c r="J106" s="5" t="s">
        <v>620</v>
      </c>
    </row>
    <row r="107">
      <c r="A107" s="1" t="s">
        <v>621</v>
      </c>
      <c r="B107" s="5" t="s">
        <v>622</v>
      </c>
      <c r="C107" s="5" t="s">
        <v>53</v>
      </c>
      <c r="D107" s="5" t="s">
        <v>623</v>
      </c>
      <c r="E107" s="36">
        <v>35624.0</v>
      </c>
      <c r="F107" s="5">
        <v>6.282288462011E12</v>
      </c>
      <c r="G107" s="1" t="s">
        <v>624</v>
      </c>
      <c r="H107" s="5" t="s">
        <v>308</v>
      </c>
      <c r="I107" s="5" t="s">
        <v>57</v>
      </c>
      <c r="J107" s="5" t="s">
        <v>625</v>
      </c>
      <c r="K107" s="5" t="s">
        <v>523</v>
      </c>
      <c r="L107" s="5" t="s">
        <v>524</v>
      </c>
    </row>
    <row r="108">
      <c r="A108" s="1" t="s">
        <v>626</v>
      </c>
      <c r="B108" s="5" t="s">
        <v>627</v>
      </c>
      <c r="C108" s="5" t="s">
        <v>53</v>
      </c>
      <c r="D108" s="5" t="s">
        <v>628</v>
      </c>
      <c r="E108" s="36">
        <v>31149.0</v>
      </c>
      <c r="F108" s="5">
        <v>6.2811601682E10</v>
      </c>
      <c r="G108" s="1" t="s">
        <v>629</v>
      </c>
      <c r="H108" s="5" t="s">
        <v>630</v>
      </c>
      <c r="I108" s="5" t="s">
        <v>57</v>
      </c>
      <c r="J108" s="5" t="s">
        <v>608</v>
      </c>
      <c r="K108" s="5" t="s">
        <v>529</v>
      </c>
      <c r="L108" s="5" t="s">
        <v>564</v>
      </c>
    </row>
    <row r="109">
      <c r="A109" s="1" t="s">
        <v>631</v>
      </c>
      <c r="B109" s="5" t="s">
        <v>632</v>
      </c>
      <c r="C109" s="5" t="s">
        <v>76</v>
      </c>
      <c r="D109" s="5" t="s">
        <v>633</v>
      </c>
      <c r="E109" s="36">
        <v>37801.0</v>
      </c>
      <c r="F109" s="5">
        <v>6.282210789013E12</v>
      </c>
      <c r="G109" s="1" t="s">
        <v>634</v>
      </c>
      <c r="H109" s="5" t="s">
        <v>544</v>
      </c>
      <c r="I109" s="5" t="s">
        <v>57</v>
      </c>
      <c r="J109" s="5" t="s">
        <v>590</v>
      </c>
      <c r="K109" s="5" t="s">
        <v>577</v>
      </c>
      <c r="L109" s="5" t="s">
        <v>577</v>
      </c>
    </row>
    <row r="110">
      <c r="A110" s="1" t="s">
        <v>635</v>
      </c>
      <c r="B110" s="5" t="s">
        <v>636</v>
      </c>
      <c r="C110" s="5" t="s">
        <v>53</v>
      </c>
      <c r="D110" s="5" t="s">
        <v>637</v>
      </c>
      <c r="E110" s="35">
        <v>36863.0</v>
      </c>
      <c r="F110" s="5">
        <v>6.285606196523E12</v>
      </c>
      <c r="G110" s="1" t="s">
        <v>638</v>
      </c>
      <c r="H110" s="5" t="s">
        <v>236</v>
      </c>
      <c r="I110" s="5" t="s">
        <v>57</v>
      </c>
      <c r="J110" s="5" t="s">
        <v>506</v>
      </c>
    </row>
    <row r="111">
      <c r="A111" s="1" t="s">
        <v>639</v>
      </c>
      <c r="B111" s="5" t="s">
        <v>640</v>
      </c>
      <c r="C111" s="5" t="s">
        <v>53</v>
      </c>
      <c r="D111" s="5" t="s">
        <v>641</v>
      </c>
      <c r="E111" s="36">
        <v>37027.0</v>
      </c>
      <c r="F111" s="5">
        <v>6.282175393353E12</v>
      </c>
      <c r="G111" s="1" t="s">
        <v>642</v>
      </c>
      <c r="H111" s="5" t="s">
        <v>293</v>
      </c>
      <c r="I111" s="5" t="s">
        <v>57</v>
      </c>
      <c r="J111" s="5" t="s">
        <v>643</v>
      </c>
      <c r="K111" s="5" t="s">
        <v>529</v>
      </c>
      <c r="L111" s="5" t="s">
        <v>644</v>
      </c>
    </row>
    <row r="112">
      <c r="A112" s="1" t="s">
        <v>645</v>
      </c>
      <c r="B112" s="5" t="s">
        <v>646</v>
      </c>
      <c r="C112" s="5" t="s">
        <v>53</v>
      </c>
      <c r="D112" s="5" t="s">
        <v>647</v>
      </c>
      <c r="E112" s="35">
        <v>34896.0</v>
      </c>
      <c r="F112" s="5">
        <v>6.287788954752E12</v>
      </c>
      <c r="G112" s="1" t="s">
        <v>648</v>
      </c>
      <c r="H112" s="5" t="s">
        <v>649</v>
      </c>
      <c r="I112" s="5" t="s">
        <v>57</v>
      </c>
      <c r="J112" s="5" t="s">
        <v>625</v>
      </c>
    </row>
    <row r="113">
      <c r="A113" s="1" t="s">
        <v>650</v>
      </c>
      <c r="B113" s="5" t="s">
        <v>651</v>
      </c>
      <c r="C113" s="5" t="s">
        <v>53</v>
      </c>
      <c r="D113" s="5" t="s">
        <v>641</v>
      </c>
      <c r="E113" s="36">
        <v>37307.0</v>
      </c>
      <c r="F113" s="5">
        <v>6.2895333022376E13</v>
      </c>
      <c r="G113" s="1" t="s">
        <v>652</v>
      </c>
      <c r="H113" s="5" t="s">
        <v>293</v>
      </c>
      <c r="I113" s="5" t="s">
        <v>57</v>
      </c>
      <c r="J113" s="5" t="s">
        <v>643</v>
      </c>
      <c r="K113" s="5" t="s">
        <v>500</v>
      </c>
      <c r="L113" s="5" t="s">
        <v>653</v>
      </c>
    </row>
    <row r="114">
      <c r="A114" s="1" t="s">
        <v>654</v>
      </c>
      <c r="B114" s="5" t="s">
        <v>655</v>
      </c>
      <c r="C114" s="5" t="s">
        <v>53</v>
      </c>
      <c r="D114" s="5" t="s">
        <v>656</v>
      </c>
      <c r="E114" s="36">
        <v>31707.0</v>
      </c>
      <c r="F114" s="5">
        <v>6.28152085245E11</v>
      </c>
      <c r="G114" s="1" t="s">
        <v>657</v>
      </c>
      <c r="H114" s="5" t="s">
        <v>630</v>
      </c>
      <c r="I114" s="5" t="s">
        <v>57</v>
      </c>
      <c r="J114" s="5" t="s">
        <v>506</v>
      </c>
      <c r="K114" s="5" t="s">
        <v>529</v>
      </c>
      <c r="L114" s="5" t="s">
        <v>530</v>
      </c>
    </row>
    <row r="115">
      <c r="A115" s="1" t="s">
        <v>658</v>
      </c>
      <c r="B115" s="5" t="s">
        <v>659</v>
      </c>
      <c r="C115" s="5" t="s">
        <v>53</v>
      </c>
      <c r="D115" s="5" t="s">
        <v>618</v>
      </c>
      <c r="E115" s="35">
        <v>34566.0</v>
      </c>
      <c r="F115" s="5">
        <v>6.281809564011E12</v>
      </c>
      <c r="G115" s="1" t="s">
        <v>660</v>
      </c>
      <c r="H115" s="5" t="s">
        <v>661</v>
      </c>
      <c r="I115" s="5" t="s">
        <v>562</v>
      </c>
      <c r="J115" s="5" t="s">
        <v>620</v>
      </c>
    </row>
    <row r="116">
      <c r="A116" s="1" t="s">
        <v>662</v>
      </c>
      <c r="B116" s="5" t="s">
        <v>663</v>
      </c>
      <c r="C116" s="5" t="s">
        <v>53</v>
      </c>
      <c r="D116" s="5" t="s">
        <v>664</v>
      </c>
      <c r="E116" s="35">
        <v>37130.0</v>
      </c>
      <c r="F116" s="5">
        <v>6.2895617476084E13</v>
      </c>
      <c r="G116" s="1" t="s">
        <v>665</v>
      </c>
      <c r="H116" s="5" t="s">
        <v>474</v>
      </c>
      <c r="I116" s="5" t="s">
        <v>57</v>
      </c>
      <c r="J116" s="5" t="s">
        <v>666</v>
      </c>
    </row>
    <row r="117">
      <c r="A117" s="1" t="s">
        <v>667</v>
      </c>
      <c r="B117" s="5" t="s">
        <v>668</v>
      </c>
      <c r="C117" s="5" t="s">
        <v>53</v>
      </c>
      <c r="D117" s="5" t="s">
        <v>669</v>
      </c>
      <c r="E117" s="36">
        <v>34275.0</v>
      </c>
      <c r="F117" s="5">
        <v>6.281882869789E12</v>
      </c>
      <c r="G117" s="1" t="s">
        <v>670</v>
      </c>
      <c r="H117" s="5" t="s">
        <v>661</v>
      </c>
      <c r="I117" s="5" t="s">
        <v>57</v>
      </c>
      <c r="J117" s="5" t="s">
        <v>671</v>
      </c>
      <c r="K117" s="5" t="s">
        <v>672</v>
      </c>
      <c r="L117" s="5" t="s">
        <v>673</v>
      </c>
    </row>
    <row r="118">
      <c r="A118" s="1" t="s">
        <v>674</v>
      </c>
      <c r="B118" s="5" t="s">
        <v>675</v>
      </c>
      <c r="C118" s="5" t="s">
        <v>53</v>
      </c>
      <c r="D118" s="5" t="s">
        <v>537</v>
      </c>
      <c r="E118" s="36">
        <v>36814.0</v>
      </c>
      <c r="F118" s="5">
        <v>6.281299072178E12</v>
      </c>
      <c r="G118" s="1" t="s">
        <v>676</v>
      </c>
      <c r="H118" s="5" t="s">
        <v>293</v>
      </c>
      <c r="I118" s="5" t="s">
        <v>57</v>
      </c>
      <c r="J118" s="5" t="s">
        <v>506</v>
      </c>
      <c r="K118" s="5" t="s">
        <v>529</v>
      </c>
      <c r="L118" s="5" t="s">
        <v>677</v>
      </c>
    </row>
    <row r="119">
      <c r="A119" s="1" t="s">
        <v>678</v>
      </c>
      <c r="B119" s="5" t="s">
        <v>679</v>
      </c>
      <c r="C119" s="5" t="s">
        <v>53</v>
      </c>
      <c r="D119" s="5" t="s">
        <v>680</v>
      </c>
      <c r="E119" s="35">
        <v>36054.0</v>
      </c>
      <c r="F119" s="5">
        <v>6.285331821949E12</v>
      </c>
      <c r="G119" s="1" t="s">
        <v>681</v>
      </c>
      <c r="H119" s="5" t="s">
        <v>516</v>
      </c>
      <c r="I119" s="5" t="s">
        <v>57</v>
      </c>
      <c r="J119" s="5" t="s">
        <v>682</v>
      </c>
    </row>
    <row r="120">
      <c r="A120" s="1" t="s">
        <v>683</v>
      </c>
      <c r="B120" s="5" t="s">
        <v>684</v>
      </c>
      <c r="C120" s="5" t="s">
        <v>76</v>
      </c>
      <c r="D120" s="5" t="s">
        <v>520</v>
      </c>
      <c r="E120" s="36">
        <v>34999.0</v>
      </c>
      <c r="F120" s="5">
        <v>6.28122427222E12</v>
      </c>
      <c r="G120" s="1" t="s">
        <v>685</v>
      </c>
      <c r="H120" s="5" t="s">
        <v>481</v>
      </c>
      <c r="I120" s="5" t="s">
        <v>57</v>
      </c>
      <c r="J120" s="5" t="s">
        <v>267</v>
      </c>
      <c r="K120" s="5" t="s">
        <v>500</v>
      </c>
      <c r="L120" s="5" t="s">
        <v>686</v>
      </c>
    </row>
    <row r="121">
      <c r="A121" s="1" t="s">
        <v>687</v>
      </c>
      <c r="B121" s="5" t="s">
        <v>688</v>
      </c>
      <c r="C121" s="5" t="s">
        <v>53</v>
      </c>
      <c r="D121" s="5" t="s">
        <v>689</v>
      </c>
      <c r="E121" s="36">
        <v>37014.0</v>
      </c>
      <c r="F121" s="5">
        <v>6.2895605871916E13</v>
      </c>
      <c r="G121" s="1" t="s">
        <v>690</v>
      </c>
      <c r="H121" s="5" t="s">
        <v>474</v>
      </c>
      <c r="I121" s="5" t="s">
        <v>57</v>
      </c>
      <c r="J121" s="5" t="s">
        <v>691</v>
      </c>
      <c r="K121" s="5" t="s">
        <v>529</v>
      </c>
      <c r="L121" s="5" t="s">
        <v>692</v>
      </c>
    </row>
    <row r="122">
      <c r="A122" s="1" t="s">
        <v>693</v>
      </c>
      <c r="B122" s="5" t="s">
        <v>694</v>
      </c>
      <c r="C122" s="5" t="s">
        <v>76</v>
      </c>
      <c r="D122" s="5" t="s">
        <v>537</v>
      </c>
      <c r="E122" s="36">
        <v>37591.0</v>
      </c>
      <c r="F122" s="5">
        <v>6.287780845551E12</v>
      </c>
      <c r="G122" s="1" t="s">
        <v>695</v>
      </c>
      <c r="H122" s="5" t="s">
        <v>474</v>
      </c>
      <c r="I122" s="5" t="s">
        <v>57</v>
      </c>
      <c r="J122" s="5" t="s">
        <v>696</v>
      </c>
      <c r="K122" s="5" t="s">
        <v>697</v>
      </c>
      <c r="L122" s="5" t="s">
        <v>697</v>
      </c>
    </row>
    <row r="123">
      <c r="A123" s="1" t="s">
        <v>698</v>
      </c>
      <c r="B123" s="5" t="s">
        <v>699</v>
      </c>
      <c r="C123" s="5" t="s">
        <v>76</v>
      </c>
      <c r="D123" s="5" t="s">
        <v>700</v>
      </c>
      <c r="E123" s="35">
        <v>35299.0</v>
      </c>
      <c r="F123" s="5">
        <v>6.282367538202E12</v>
      </c>
      <c r="G123" s="1" t="s">
        <v>701</v>
      </c>
      <c r="H123" s="5" t="s">
        <v>308</v>
      </c>
      <c r="I123" s="5" t="s">
        <v>57</v>
      </c>
      <c r="J123" s="5" t="s">
        <v>702</v>
      </c>
    </row>
    <row r="124">
      <c r="A124" s="1" t="s">
        <v>703</v>
      </c>
      <c r="B124" s="5" t="s">
        <v>704</v>
      </c>
      <c r="C124" s="5" t="s">
        <v>53</v>
      </c>
      <c r="D124" s="5" t="s">
        <v>705</v>
      </c>
      <c r="E124" s="36">
        <v>34278.0</v>
      </c>
      <c r="F124" s="5">
        <v>6.282281087575E12</v>
      </c>
      <c r="G124" s="1" t="s">
        <v>706</v>
      </c>
      <c r="H124" s="5" t="s">
        <v>661</v>
      </c>
      <c r="I124" s="5" t="s">
        <v>57</v>
      </c>
      <c r="J124" s="5" t="s">
        <v>707</v>
      </c>
      <c r="K124" s="5" t="s">
        <v>523</v>
      </c>
      <c r="L124" s="5" t="s">
        <v>524</v>
      </c>
    </row>
    <row r="125">
      <c r="A125" s="1" t="s">
        <v>708</v>
      </c>
      <c r="B125" s="5" t="s">
        <v>709</v>
      </c>
      <c r="C125" s="5" t="s">
        <v>53</v>
      </c>
      <c r="D125" s="5" t="s">
        <v>710</v>
      </c>
      <c r="E125" s="35">
        <v>36443.0</v>
      </c>
      <c r="F125" s="5">
        <v>6.282188030957E12</v>
      </c>
      <c r="G125" s="1" t="s">
        <v>711</v>
      </c>
      <c r="H125" s="5" t="s">
        <v>236</v>
      </c>
      <c r="I125" s="5" t="s">
        <v>57</v>
      </c>
      <c r="J125" s="5" t="s">
        <v>712</v>
      </c>
    </row>
    <row r="126">
      <c r="A126" s="1" t="s">
        <v>713</v>
      </c>
      <c r="B126" s="5" t="s">
        <v>714</v>
      </c>
      <c r="C126" s="5" t="s">
        <v>53</v>
      </c>
      <c r="D126" s="5" t="s">
        <v>715</v>
      </c>
      <c r="E126" s="35">
        <v>34576.0</v>
      </c>
      <c r="F126" s="5">
        <v>6.285338551073E12</v>
      </c>
      <c r="G126" s="1" t="s">
        <v>716</v>
      </c>
      <c r="H126" s="5" t="s">
        <v>661</v>
      </c>
      <c r="I126" s="5" t="s">
        <v>57</v>
      </c>
      <c r="J126" s="5" t="s">
        <v>717</v>
      </c>
    </row>
    <row r="127">
      <c r="A127" s="1" t="s">
        <v>718</v>
      </c>
      <c r="B127" s="5" t="s">
        <v>719</v>
      </c>
      <c r="C127" s="5" t="s">
        <v>76</v>
      </c>
      <c r="D127" s="5" t="s">
        <v>720</v>
      </c>
      <c r="E127" s="36">
        <v>36666.0</v>
      </c>
      <c r="F127" s="5">
        <v>6.285159827299E12</v>
      </c>
      <c r="G127" s="1" t="s">
        <v>721</v>
      </c>
      <c r="H127" s="5" t="s">
        <v>236</v>
      </c>
      <c r="I127" s="5" t="s">
        <v>57</v>
      </c>
      <c r="J127" s="5" t="s">
        <v>625</v>
      </c>
      <c r="K127" s="5" t="s">
        <v>500</v>
      </c>
      <c r="L127" s="5" t="s">
        <v>501</v>
      </c>
    </row>
    <row r="128">
      <c r="A128" s="1" t="s">
        <v>722</v>
      </c>
      <c r="B128" s="5" t="s">
        <v>723</v>
      </c>
      <c r="C128" s="5" t="s">
        <v>76</v>
      </c>
      <c r="D128" s="5" t="s">
        <v>724</v>
      </c>
      <c r="E128" s="36">
        <v>35996.0</v>
      </c>
      <c r="F128" s="5">
        <v>6.285876898697E12</v>
      </c>
      <c r="G128" s="1" t="s">
        <v>725</v>
      </c>
      <c r="H128" s="5" t="s">
        <v>438</v>
      </c>
      <c r="I128" s="5" t="s">
        <v>57</v>
      </c>
      <c r="J128" s="5" t="s">
        <v>506</v>
      </c>
      <c r="K128" s="5" t="s">
        <v>529</v>
      </c>
      <c r="L128" s="5" t="s">
        <v>530</v>
      </c>
    </row>
    <row r="129">
      <c r="A129" s="1" t="s">
        <v>726</v>
      </c>
      <c r="B129" s="5" t="s">
        <v>727</v>
      </c>
      <c r="C129" s="5" t="s">
        <v>53</v>
      </c>
      <c r="D129" s="5" t="s">
        <v>728</v>
      </c>
      <c r="E129" s="36">
        <v>35449.0</v>
      </c>
      <c r="F129" s="5">
        <v>6.281247942776E12</v>
      </c>
      <c r="G129" s="1" t="s">
        <v>729</v>
      </c>
      <c r="H129" s="5" t="s">
        <v>516</v>
      </c>
      <c r="I129" s="5" t="s">
        <v>57</v>
      </c>
      <c r="J129" s="5" t="s">
        <v>730</v>
      </c>
      <c r="K129" s="5" t="s">
        <v>731</v>
      </c>
      <c r="L129" s="5" t="s">
        <v>732</v>
      </c>
    </row>
    <row r="130">
      <c r="A130" s="1" t="s">
        <v>733</v>
      </c>
      <c r="B130" s="5" t="s">
        <v>734</v>
      </c>
      <c r="C130" s="5" t="s">
        <v>53</v>
      </c>
      <c r="D130" s="5" t="s">
        <v>735</v>
      </c>
      <c r="E130" s="36">
        <v>37279.0</v>
      </c>
      <c r="F130" s="5">
        <v>6.289675634439E12</v>
      </c>
      <c r="G130" s="1" t="s">
        <v>736</v>
      </c>
      <c r="H130" s="5" t="s">
        <v>544</v>
      </c>
      <c r="I130" s="5" t="s">
        <v>57</v>
      </c>
      <c r="J130" s="5" t="s">
        <v>737</v>
      </c>
      <c r="K130" s="5" t="s">
        <v>539</v>
      </c>
      <c r="L130" s="5" t="s">
        <v>738</v>
      </c>
    </row>
    <row r="131">
      <c r="A131" s="1" t="s">
        <v>739</v>
      </c>
      <c r="B131" s="5" t="s">
        <v>740</v>
      </c>
      <c r="C131" s="5" t="s">
        <v>76</v>
      </c>
      <c r="D131" s="5" t="s">
        <v>741</v>
      </c>
      <c r="E131" s="35">
        <v>36856.0</v>
      </c>
      <c r="F131" s="5">
        <v>6.281381977614E12</v>
      </c>
      <c r="G131" s="1" t="s">
        <v>742</v>
      </c>
      <c r="H131" s="5" t="s">
        <v>293</v>
      </c>
      <c r="I131" s="5" t="s">
        <v>57</v>
      </c>
      <c r="J131" s="5" t="s">
        <v>590</v>
      </c>
    </row>
    <row r="132">
      <c r="A132" s="1" t="s">
        <v>743</v>
      </c>
      <c r="B132" s="5" t="s">
        <v>744</v>
      </c>
      <c r="C132" s="5" t="s">
        <v>76</v>
      </c>
      <c r="D132" s="5" t="s">
        <v>271</v>
      </c>
      <c r="E132" s="36">
        <v>37229.0</v>
      </c>
      <c r="F132" s="5">
        <v>6.285721003912E12</v>
      </c>
      <c r="G132" s="1" t="s">
        <v>745</v>
      </c>
      <c r="H132" s="5" t="s">
        <v>544</v>
      </c>
      <c r="I132" s="5" t="s">
        <v>562</v>
      </c>
      <c r="J132" s="5" t="s">
        <v>620</v>
      </c>
      <c r="K132" s="5" t="s">
        <v>746</v>
      </c>
      <c r="L132" s="5" t="s">
        <v>747</v>
      </c>
    </row>
    <row r="133">
      <c r="A133" s="1" t="s">
        <v>748</v>
      </c>
      <c r="B133" s="5" t="s">
        <v>749</v>
      </c>
      <c r="C133" s="5" t="s">
        <v>53</v>
      </c>
      <c r="D133" s="5" t="s">
        <v>750</v>
      </c>
      <c r="E133" s="35">
        <v>33571.0</v>
      </c>
      <c r="F133" s="5">
        <v>6.281262350159E12</v>
      </c>
      <c r="G133" s="1" t="s">
        <v>751</v>
      </c>
      <c r="H133" s="5" t="s">
        <v>499</v>
      </c>
      <c r="I133" s="5" t="s">
        <v>57</v>
      </c>
      <c r="J133" s="5" t="s">
        <v>238</v>
      </c>
    </row>
    <row r="134">
      <c r="A134" s="1" t="s">
        <v>752</v>
      </c>
      <c r="B134" s="5" t="s">
        <v>753</v>
      </c>
      <c r="C134" s="5" t="s">
        <v>76</v>
      </c>
      <c r="D134" s="5" t="s">
        <v>537</v>
      </c>
      <c r="E134" s="36">
        <v>37099.0</v>
      </c>
      <c r="F134" s="5">
        <v>6.281311268406E12</v>
      </c>
      <c r="G134" s="1" t="s">
        <v>754</v>
      </c>
      <c r="H134" s="5" t="s">
        <v>293</v>
      </c>
      <c r="I134" s="5" t="s">
        <v>57</v>
      </c>
      <c r="J134" s="5" t="s">
        <v>506</v>
      </c>
      <c r="K134" s="5" t="s">
        <v>529</v>
      </c>
      <c r="L134" s="5" t="s">
        <v>692</v>
      </c>
    </row>
    <row r="135">
      <c r="A135" s="1" t="s">
        <v>755</v>
      </c>
      <c r="B135" s="5" t="s">
        <v>756</v>
      </c>
      <c r="C135" s="5" t="s">
        <v>53</v>
      </c>
      <c r="D135" s="5" t="s">
        <v>537</v>
      </c>
      <c r="E135" s="36">
        <v>36961.0</v>
      </c>
      <c r="F135" s="5">
        <v>6.287877855261E12</v>
      </c>
      <c r="G135" s="1" t="s">
        <v>757</v>
      </c>
      <c r="H135" s="5" t="s">
        <v>293</v>
      </c>
      <c r="I135" s="5" t="s">
        <v>562</v>
      </c>
      <c r="J135" s="5" t="s">
        <v>620</v>
      </c>
      <c r="K135" s="5" t="s">
        <v>758</v>
      </c>
      <c r="L135" s="5" t="s">
        <v>747</v>
      </c>
    </row>
    <row r="136">
      <c r="A136" s="1" t="s">
        <v>759</v>
      </c>
      <c r="B136" s="5" t="s">
        <v>760</v>
      </c>
      <c r="C136" s="5" t="s">
        <v>53</v>
      </c>
      <c r="D136" s="5" t="s">
        <v>633</v>
      </c>
      <c r="E136" s="36">
        <v>37269.0</v>
      </c>
      <c r="F136" s="5">
        <v>6.285157731537E12</v>
      </c>
      <c r="G136" s="1" t="s">
        <v>761</v>
      </c>
      <c r="H136" s="5" t="s">
        <v>474</v>
      </c>
      <c r="I136" s="5" t="s">
        <v>57</v>
      </c>
      <c r="J136" s="5" t="s">
        <v>482</v>
      </c>
      <c r="K136" s="5" t="s">
        <v>529</v>
      </c>
      <c r="L136" s="5" t="s">
        <v>692</v>
      </c>
    </row>
    <row r="137">
      <c r="A137" s="1" t="s">
        <v>762</v>
      </c>
      <c r="B137" s="5" t="s">
        <v>763</v>
      </c>
      <c r="C137" s="5" t="s">
        <v>76</v>
      </c>
      <c r="D137" s="5" t="s">
        <v>741</v>
      </c>
      <c r="E137" s="35">
        <v>36910.0</v>
      </c>
      <c r="F137" s="5">
        <v>6.2895411886734E13</v>
      </c>
      <c r="G137" s="1" t="s">
        <v>764</v>
      </c>
      <c r="H137" s="5" t="s">
        <v>293</v>
      </c>
      <c r="I137" s="5" t="s">
        <v>57</v>
      </c>
      <c r="J137" s="5" t="s">
        <v>576</v>
      </c>
    </row>
    <row r="138">
      <c r="A138" s="1" t="s">
        <v>765</v>
      </c>
      <c r="B138" s="5" t="s">
        <v>766</v>
      </c>
      <c r="C138" s="5" t="s">
        <v>53</v>
      </c>
      <c r="D138" s="5" t="s">
        <v>271</v>
      </c>
      <c r="E138" s="35">
        <v>34341.0</v>
      </c>
      <c r="F138" s="5">
        <v>6.28129670028E11</v>
      </c>
      <c r="G138" s="1" t="s">
        <v>767</v>
      </c>
      <c r="H138" s="5" t="s">
        <v>649</v>
      </c>
      <c r="I138" s="5" t="s">
        <v>57</v>
      </c>
      <c r="J138" s="5" t="s">
        <v>267</v>
      </c>
    </row>
    <row r="139">
      <c r="A139" s="1" t="s">
        <v>768</v>
      </c>
      <c r="B139" s="5" t="s">
        <v>769</v>
      </c>
      <c r="C139" s="5" t="s">
        <v>76</v>
      </c>
      <c r="D139" s="5" t="s">
        <v>770</v>
      </c>
      <c r="E139" s="36">
        <v>36944.0</v>
      </c>
      <c r="F139" s="5">
        <v>6.28128521896E12</v>
      </c>
      <c r="G139" s="1" t="s">
        <v>771</v>
      </c>
      <c r="H139" s="5" t="s">
        <v>293</v>
      </c>
      <c r="I139" s="5" t="s">
        <v>57</v>
      </c>
      <c r="J139" s="5" t="s">
        <v>772</v>
      </c>
      <c r="K139" s="5" t="s">
        <v>529</v>
      </c>
      <c r="L139" s="5" t="s">
        <v>530</v>
      </c>
    </row>
    <row r="140">
      <c r="A140" s="1" t="s">
        <v>773</v>
      </c>
      <c r="B140" s="5" t="s">
        <v>774</v>
      </c>
      <c r="C140" s="5" t="s">
        <v>76</v>
      </c>
      <c r="D140" s="5" t="s">
        <v>775</v>
      </c>
      <c r="E140" s="36">
        <v>37470.0</v>
      </c>
      <c r="F140" s="5">
        <v>6.281332402435E12</v>
      </c>
      <c r="G140" s="1" t="s">
        <v>776</v>
      </c>
      <c r="H140" s="5" t="s">
        <v>474</v>
      </c>
      <c r="I140" s="5" t="s">
        <v>57</v>
      </c>
      <c r="J140" s="5" t="s">
        <v>777</v>
      </c>
      <c r="K140" s="5" t="s">
        <v>500</v>
      </c>
      <c r="L140" s="5" t="s">
        <v>778</v>
      </c>
    </row>
    <row r="141">
      <c r="A141" s="1" t="s">
        <v>779</v>
      </c>
      <c r="B141" s="5" t="s">
        <v>780</v>
      </c>
      <c r="C141" s="5" t="s">
        <v>53</v>
      </c>
      <c r="D141" s="5" t="s">
        <v>781</v>
      </c>
      <c r="E141" s="35">
        <v>36742.0</v>
      </c>
      <c r="F141" s="5">
        <v>6.282243353121E12</v>
      </c>
      <c r="G141" s="1" t="s">
        <v>782</v>
      </c>
      <c r="H141" s="5" t="s">
        <v>236</v>
      </c>
      <c r="I141" s="5" t="s">
        <v>57</v>
      </c>
      <c r="J141" s="5" t="s">
        <v>783</v>
      </c>
    </row>
    <row r="142">
      <c r="A142" s="1" t="s">
        <v>784</v>
      </c>
      <c r="B142" s="5" t="s">
        <v>785</v>
      </c>
      <c r="C142" s="5" t="s">
        <v>76</v>
      </c>
      <c r="D142" s="5" t="s">
        <v>770</v>
      </c>
      <c r="E142" s="35">
        <v>36146.0</v>
      </c>
      <c r="F142" s="5">
        <v>6.287761521244E12</v>
      </c>
      <c r="G142" s="1" t="s">
        <v>786</v>
      </c>
      <c r="H142" s="5" t="s">
        <v>516</v>
      </c>
      <c r="I142" s="5" t="s">
        <v>57</v>
      </c>
      <c r="J142" s="5" t="s">
        <v>787</v>
      </c>
    </row>
    <row r="143">
      <c r="A143" s="1" t="s">
        <v>788</v>
      </c>
      <c r="B143" s="5" t="s">
        <v>789</v>
      </c>
      <c r="C143" s="5" t="s">
        <v>53</v>
      </c>
      <c r="D143" s="5" t="s">
        <v>790</v>
      </c>
      <c r="E143" s="36">
        <v>35340.0</v>
      </c>
      <c r="F143" s="5">
        <v>6.285860854749E12</v>
      </c>
      <c r="G143" s="1" t="s">
        <v>791</v>
      </c>
      <c r="H143" s="5" t="s">
        <v>481</v>
      </c>
      <c r="I143" s="5" t="s">
        <v>57</v>
      </c>
      <c r="J143" s="5" t="s">
        <v>792</v>
      </c>
      <c r="K143" s="5" t="s">
        <v>500</v>
      </c>
      <c r="L143" s="5" t="s">
        <v>793</v>
      </c>
    </row>
    <row r="144">
      <c r="A144" s="1" t="s">
        <v>794</v>
      </c>
      <c r="B144" s="5" t="s">
        <v>795</v>
      </c>
      <c r="C144" s="5" t="s">
        <v>53</v>
      </c>
      <c r="D144" s="5" t="s">
        <v>796</v>
      </c>
      <c r="E144" s="36">
        <v>37684.0</v>
      </c>
      <c r="F144" s="5">
        <v>6.283138641513E12</v>
      </c>
      <c r="G144" s="1" t="s">
        <v>797</v>
      </c>
      <c r="H144" s="5" t="s">
        <v>544</v>
      </c>
      <c r="I144" s="5" t="s">
        <v>562</v>
      </c>
      <c r="J144" s="5" t="s">
        <v>798</v>
      </c>
      <c r="K144" s="5" t="s">
        <v>799</v>
      </c>
      <c r="L144" s="5" t="s">
        <v>800</v>
      </c>
    </row>
    <row r="145">
      <c r="A145" s="1" t="s">
        <v>801</v>
      </c>
      <c r="B145" s="5" t="s">
        <v>802</v>
      </c>
      <c r="C145" s="5" t="s">
        <v>76</v>
      </c>
      <c r="D145" s="5" t="s">
        <v>233</v>
      </c>
      <c r="E145" s="35">
        <v>36989.0</v>
      </c>
      <c r="F145" s="5">
        <v>6.282273105676E12</v>
      </c>
      <c r="G145" s="1" t="s">
        <v>803</v>
      </c>
      <c r="H145" s="5" t="s">
        <v>293</v>
      </c>
      <c r="I145" s="5" t="s">
        <v>57</v>
      </c>
      <c r="J145" s="5" t="s">
        <v>666</v>
      </c>
    </row>
    <row r="146">
      <c r="A146" s="1" t="s">
        <v>804</v>
      </c>
      <c r="B146" s="5" t="s">
        <v>805</v>
      </c>
      <c r="C146" s="5" t="s">
        <v>76</v>
      </c>
      <c r="D146" s="5" t="s">
        <v>705</v>
      </c>
      <c r="E146" s="36">
        <v>37088.0</v>
      </c>
      <c r="F146" s="5">
        <v>6.282391192291E12</v>
      </c>
      <c r="G146" s="1" t="s">
        <v>806</v>
      </c>
      <c r="H146" s="5" t="s">
        <v>474</v>
      </c>
      <c r="I146" s="5" t="s">
        <v>57</v>
      </c>
      <c r="J146" s="5" t="s">
        <v>807</v>
      </c>
      <c r="K146" s="5" t="s">
        <v>556</v>
      </c>
      <c r="L146" s="5" t="s">
        <v>808</v>
      </c>
    </row>
    <row r="147">
      <c r="A147" s="1" t="s">
        <v>809</v>
      </c>
      <c r="B147" s="5" t="s">
        <v>810</v>
      </c>
      <c r="C147" s="5" t="s">
        <v>53</v>
      </c>
      <c r="D147" s="5" t="s">
        <v>811</v>
      </c>
      <c r="E147" s="36">
        <v>37037.0</v>
      </c>
      <c r="F147" s="5">
        <v>6.281958456144E12</v>
      </c>
      <c r="G147" s="1" t="s">
        <v>812</v>
      </c>
      <c r="H147" s="5" t="s">
        <v>474</v>
      </c>
      <c r="I147" s="5" t="s">
        <v>57</v>
      </c>
      <c r="J147" s="5" t="s">
        <v>813</v>
      </c>
      <c r="K147" s="5" t="s">
        <v>529</v>
      </c>
      <c r="L147" s="5" t="s">
        <v>530</v>
      </c>
    </row>
    <row r="148">
      <c r="A148" s="1" t="s">
        <v>814</v>
      </c>
      <c r="B148" s="5" t="s">
        <v>815</v>
      </c>
      <c r="C148" s="5" t="s">
        <v>53</v>
      </c>
      <c r="D148" s="5" t="s">
        <v>271</v>
      </c>
      <c r="E148" s="36">
        <v>35901.0</v>
      </c>
      <c r="F148" s="5">
        <v>6.287777984881E12</v>
      </c>
      <c r="G148" s="1" t="s">
        <v>816</v>
      </c>
      <c r="H148" s="5" t="s">
        <v>438</v>
      </c>
      <c r="I148" s="5" t="s">
        <v>57</v>
      </c>
      <c r="J148" s="5" t="s">
        <v>506</v>
      </c>
      <c r="K148" s="5" t="s">
        <v>529</v>
      </c>
      <c r="L148" s="5" t="s">
        <v>817</v>
      </c>
    </row>
    <row r="149">
      <c r="A149" s="1" t="s">
        <v>818</v>
      </c>
      <c r="B149" s="5" t="s">
        <v>819</v>
      </c>
      <c r="C149" s="5" t="s">
        <v>76</v>
      </c>
      <c r="D149" s="5" t="s">
        <v>537</v>
      </c>
      <c r="E149" s="36">
        <v>35797.0</v>
      </c>
      <c r="F149" s="5">
        <v>6.28128589798E12</v>
      </c>
      <c r="G149" s="1" t="s">
        <v>820</v>
      </c>
      <c r="H149" s="5" t="s">
        <v>308</v>
      </c>
      <c r="I149" s="5" t="s">
        <v>57</v>
      </c>
      <c r="J149" s="5" t="s">
        <v>813</v>
      </c>
      <c r="K149" s="5" t="s">
        <v>529</v>
      </c>
      <c r="L149" s="5" t="s">
        <v>692</v>
      </c>
    </row>
    <row r="150">
      <c r="A150" s="1" t="s">
        <v>821</v>
      </c>
      <c r="B150" s="5" t="s">
        <v>822</v>
      </c>
      <c r="C150" s="5" t="s">
        <v>76</v>
      </c>
      <c r="D150" s="5" t="s">
        <v>823</v>
      </c>
      <c r="E150" s="35">
        <v>36243.0</v>
      </c>
      <c r="F150" s="5">
        <v>6.281385309066E12</v>
      </c>
      <c r="G150" s="1" t="s">
        <v>824</v>
      </c>
      <c r="H150" s="5" t="s">
        <v>516</v>
      </c>
      <c r="I150" s="5" t="s">
        <v>57</v>
      </c>
      <c r="J150" s="5" t="s">
        <v>825</v>
      </c>
    </row>
    <row r="151">
      <c r="A151" s="1" t="s">
        <v>826</v>
      </c>
      <c r="B151" s="5" t="s">
        <v>827</v>
      </c>
      <c r="C151" s="5" t="s">
        <v>76</v>
      </c>
      <c r="D151" s="5" t="s">
        <v>271</v>
      </c>
      <c r="E151" s="35">
        <v>37203.0</v>
      </c>
      <c r="F151" s="5">
        <v>6.285624114921E12</v>
      </c>
      <c r="G151" s="1" t="s">
        <v>828</v>
      </c>
      <c r="H151" s="5" t="s">
        <v>293</v>
      </c>
      <c r="I151" s="5" t="s">
        <v>57</v>
      </c>
      <c r="J151" s="5" t="s">
        <v>522</v>
      </c>
    </row>
    <row r="152">
      <c r="A152" s="1" t="s">
        <v>829</v>
      </c>
      <c r="B152" s="5" t="s">
        <v>830</v>
      </c>
      <c r="C152" s="5" t="s">
        <v>53</v>
      </c>
      <c r="D152" s="5" t="s">
        <v>271</v>
      </c>
      <c r="E152" s="36">
        <v>36554.0</v>
      </c>
      <c r="F152" s="5">
        <v>6.285172367669E12</v>
      </c>
      <c r="G152" s="1" t="s">
        <v>831</v>
      </c>
      <c r="H152" s="5" t="s">
        <v>293</v>
      </c>
      <c r="I152" s="5" t="s">
        <v>57</v>
      </c>
      <c r="J152" s="5" t="s">
        <v>522</v>
      </c>
      <c r="K152" s="5" t="s">
        <v>523</v>
      </c>
      <c r="L152" s="5" t="s">
        <v>524</v>
      </c>
    </row>
    <row r="153">
      <c r="A153" s="1" t="s">
        <v>832</v>
      </c>
      <c r="B153" s="5" t="s">
        <v>833</v>
      </c>
      <c r="C153" s="5" t="s">
        <v>76</v>
      </c>
      <c r="D153" s="5" t="s">
        <v>741</v>
      </c>
      <c r="E153" s="35">
        <v>35966.0</v>
      </c>
      <c r="F153" s="5">
        <v>6.28568175962E11</v>
      </c>
      <c r="G153" s="1" t="s">
        <v>834</v>
      </c>
      <c r="H153" s="5" t="s">
        <v>438</v>
      </c>
      <c r="I153" s="5" t="s">
        <v>57</v>
      </c>
      <c r="J153" s="5" t="s">
        <v>576</v>
      </c>
    </row>
    <row r="154">
      <c r="A154" s="1" t="s">
        <v>835</v>
      </c>
      <c r="B154" s="5" t="s">
        <v>836</v>
      </c>
      <c r="C154" s="5" t="s">
        <v>76</v>
      </c>
      <c r="D154" s="5" t="s">
        <v>705</v>
      </c>
      <c r="E154" s="36">
        <v>36511.0</v>
      </c>
      <c r="F154" s="5">
        <v>6.281367374905E12</v>
      </c>
      <c r="G154" s="1" t="s">
        <v>837</v>
      </c>
      <c r="H154" s="5" t="s">
        <v>236</v>
      </c>
      <c r="I154" s="5" t="s">
        <v>57</v>
      </c>
      <c r="J154" s="5" t="s">
        <v>838</v>
      </c>
      <c r="K154" s="5" t="s">
        <v>539</v>
      </c>
      <c r="L154" s="5" t="s">
        <v>799</v>
      </c>
    </row>
    <row r="155">
      <c r="A155" s="1" t="s">
        <v>839</v>
      </c>
      <c r="B155" s="5" t="s">
        <v>840</v>
      </c>
      <c r="C155" s="5" t="s">
        <v>76</v>
      </c>
      <c r="D155" s="5" t="s">
        <v>633</v>
      </c>
      <c r="E155" s="36">
        <v>36989.0</v>
      </c>
      <c r="F155" s="5">
        <v>6.285817202063E12</v>
      </c>
      <c r="G155" s="1" t="s">
        <v>841</v>
      </c>
      <c r="H155" s="5" t="s">
        <v>293</v>
      </c>
      <c r="I155" s="5" t="s">
        <v>57</v>
      </c>
      <c r="J155" s="5" t="s">
        <v>707</v>
      </c>
      <c r="K155" s="5" t="s">
        <v>842</v>
      </c>
      <c r="L155" s="5" t="s">
        <v>799</v>
      </c>
    </row>
    <row r="156">
      <c r="A156" s="1" t="s">
        <v>843</v>
      </c>
      <c r="B156" s="5" t="s">
        <v>844</v>
      </c>
      <c r="C156" s="5" t="s">
        <v>53</v>
      </c>
      <c r="D156" s="5" t="s">
        <v>845</v>
      </c>
      <c r="E156" s="36">
        <v>37092.0</v>
      </c>
      <c r="F156" s="5">
        <v>6.282137273725E12</v>
      </c>
      <c r="G156" s="1" t="s">
        <v>846</v>
      </c>
      <c r="H156" s="5" t="s">
        <v>474</v>
      </c>
      <c r="I156" s="5" t="s">
        <v>57</v>
      </c>
      <c r="J156" s="5" t="s">
        <v>847</v>
      </c>
      <c r="K156" s="5" t="s">
        <v>848</v>
      </c>
      <c r="L156" s="5" t="s">
        <v>849</v>
      </c>
    </row>
    <row r="157">
      <c r="A157" s="1" t="s">
        <v>850</v>
      </c>
      <c r="B157" s="5" t="s">
        <v>851</v>
      </c>
      <c r="C157" s="5" t="s">
        <v>76</v>
      </c>
      <c r="D157" s="5" t="s">
        <v>852</v>
      </c>
      <c r="E157" s="36">
        <v>37002.0</v>
      </c>
      <c r="F157" s="5">
        <v>6.288276732096E12</v>
      </c>
      <c r="G157" s="1" t="s">
        <v>853</v>
      </c>
      <c r="H157" s="5" t="s">
        <v>293</v>
      </c>
      <c r="I157" s="5" t="s">
        <v>57</v>
      </c>
      <c r="J157" s="5" t="s">
        <v>854</v>
      </c>
      <c r="K157" s="5" t="s">
        <v>529</v>
      </c>
      <c r="L157" s="5" t="s">
        <v>692</v>
      </c>
    </row>
    <row r="158">
      <c r="A158" s="1" t="s">
        <v>855</v>
      </c>
      <c r="B158" s="5" t="s">
        <v>856</v>
      </c>
      <c r="C158" s="5" t="s">
        <v>53</v>
      </c>
      <c r="D158" s="5" t="s">
        <v>537</v>
      </c>
      <c r="E158" s="36">
        <v>36376.0</v>
      </c>
      <c r="F158" s="5">
        <v>6.285718465853E12</v>
      </c>
      <c r="G158" s="1" t="s">
        <v>857</v>
      </c>
      <c r="H158" s="5" t="s">
        <v>236</v>
      </c>
      <c r="I158" s="5" t="s">
        <v>57</v>
      </c>
      <c r="J158" s="5" t="s">
        <v>858</v>
      </c>
      <c r="K158" s="5" t="s">
        <v>539</v>
      </c>
      <c r="L158" s="5" t="s">
        <v>859</v>
      </c>
    </row>
    <row r="159">
      <c r="A159" s="1" t="s">
        <v>860</v>
      </c>
      <c r="B159" s="5" t="s">
        <v>861</v>
      </c>
      <c r="C159" s="5" t="s">
        <v>53</v>
      </c>
      <c r="D159" s="5" t="s">
        <v>770</v>
      </c>
      <c r="E159" s="36">
        <v>37295.0</v>
      </c>
      <c r="F159" s="5">
        <v>6.2895368724874E13</v>
      </c>
      <c r="G159" s="1" t="s">
        <v>862</v>
      </c>
      <c r="H159" s="5" t="s">
        <v>474</v>
      </c>
      <c r="I159" s="5" t="s">
        <v>57</v>
      </c>
      <c r="J159" s="5" t="s">
        <v>787</v>
      </c>
      <c r="K159" s="5" t="s">
        <v>523</v>
      </c>
      <c r="L159" s="5" t="s">
        <v>524</v>
      </c>
    </row>
    <row r="160">
      <c r="A160" s="1" t="s">
        <v>863</v>
      </c>
      <c r="B160" s="5" t="s">
        <v>864</v>
      </c>
      <c r="C160" s="5" t="s">
        <v>53</v>
      </c>
      <c r="D160" s="5" t="s">
        <v>637</v>
      </c>
      <c r="E160" s="36">
        <v>36597.0</v>
      </c>
      <c r="F160" s="5">
        <v>6.281392478178E12</v>
      </c>
      <c r="G160" s="1" t="s">
        <v>865</v>
      </c>
      <c r="H160" s="5" t="s">
        <v>236</v>
      </c>
      <c r="I160" s="5" t="s">
        <v>57</v>
      </c>
      <c r="J160" s="5" t="s">
        <v>506</v>
      </c>
      <c r="K160" s="5" t="s">
        <v>529</v>
      </c>
      <c r="L160" s="5" t="s">
        <v>866</v>
      </c>
    </row>
    <row r="161">
      <c r="A161" s="1" t="s">
        <v>867</v>
      </c>
      <c r="B161" s="5" t="s">
        <v>868</v>
      </c>
      <c r="C161" s="5" t="s">
        <v>53</v>
      </c>
      <c r="D161" s="5" t="s">
        <v>869</v>
      </c>
      <c r="E161" s="36">
        <v>37081.0</v>
      </c>
      <c r="F161" s="5">
        <v>6.282132856987E12</v>
      </c>
      <c r="G161" s="1" t="s">
        <v>870</v>
      </c>
      <c r="H161" s="5" t="s">
        <v>293</v>
      </c>
      <c r="I161" s="5" t="s">
        <v>57</v>
      </c>
      <c r="J161" s="5" t="s">
        <v>517</v>
      </c>
      <c r="K161" s="5" t="s">
        <v>529</v>
      </c>
      <c r="L161" s="5" t="s">
        <v>677</v>
      </c>
    </row>
    <row r="162">
      <c r="A162" s="1" t="s">
        <v>871</v>
      </c>
      <c r="B162" s="5" t="s">
        <v>872</v>
      </c>
      <c r="C162" s="5" t="s">
        <v>76</v>
      </c>
      <c r="D162" s="5" t="s">
        <v>823</v>
      </c>
      <c r="E162" s="36">
        <v>36502.0</v>
      </c>
      <c r="F162" s="5">
        <v>6.282313778007E12</v>
      </c>
      <c r="G162" s="1" t="s">
        <v>873</v>
      </c>
      <c r="H162" s="5" t="s">
        <v>516</v>
      </c>
      <c r="I162" s="5" t="s">
        <v>57</v>
      </c>
      <c r="J162" s="5" t="s">
        <v>825</v>
      </c>
      <c r="K162" s="5" t="s">
        <v>539</v>
      </c>
      <c r="L162" s="5" t="s">
        <v>799</v>
      </c>
    </row>
    <row r="163">
      <c r="A163" s="1" t="s">
        <v>874</v>
      </c>
      <c r="B163" s="5" t="s">
        <v>875</v>
      </c>
      <c r="C163" s="5" t="s">
        <v>76</v>
      </c>
      <c r="D163" s="5" t="s">
        <v>876</v>
      </c>
      <c r="E163" s="36">
        <v>36756.0</v>
      </c>
      <c r="F163" s="5">
        <v>6.282245148807E12</v>
      </c>
      <c r="G163" s="1" t="s">
        <v>877</v>
      </c>
      <c r="H163" s="5" t="s">
        <v>236</v>
      </c>
      <c r="I163" s="5" t="s">
        <v>57</v>
      </c>
      <c r="J163" s="5" t="s">
        <v>555</v>
      </c>
      <c r="K163" s="5" t="s">
        <v>556</v>
      </c>
      <c r="L163" s="5" t="s">
        <v>878</v>
      </c>
    </row>
    <row r="164">
      <c r="A164" s="1" t="s">
        <v>879</v>
      </c>
      <c r="B164" s="5" t="s">
        <v>880</v>
      </c>
      <c r="C164" s="5" t="s">
        <v>76</v>
      </c>
      <c r="D164" s="5" t="s">
        <v>637</v>
      </c>
      <c r="E164" s="36">
        <v>37050.0</v>
      </c>
      <c r="F164" s="5">
        <v>6.28112827278E11</v>
      </c>
      <c r="G164" s="1" t="s">
        <v>881</v>
      </c>
      <c r="H164" s="5" t="s">
        <v>293</v>
      </c>
      <c r="I164" s="5" t="s">
        <v>57</v>
      </c>
      <c r="J164" s="5" t="s">
        <v>517</v>
      </c>
      <c r="K164" s="5" t="s">
        <v>882</v>
      </c>
      <c r="L164" s="5" t="s">
        <v>883</v>
      </c>
    </row>
    <row r="165">
      <c r="A165" s="1" t="s">
        <v>884</v>
      </c>
      <c r="B165" s="5" t="s">
        <v>885</v>
      </c>
      <c r="C165" s="5" t="s">
        <v>76</v>
      </c>
      <c r="D165" s="5" t="s">
        <v>537</v>
      </c>
      <c r="E165" s="35">
        <v>31132.0</v>
      </c>
      <c r="F165" s="5">
        <v>6.2857433494E12</v>
      </c>
      <c r="G165" s="1" t="s">
        <v>886</v>
      </c>
      <c r="H165" s="5" t="s">
        <v>630</v>
      </c>
      <c r="I165" s="5" t="s">
        <v>57</v>
      </c>
      <c r="J165" s="5" t="s">
        <v>517</v>
      </c>
      <c r="K165" s="5" t="s">
        <v>523</v>
      </c>
      <c r="L165" s="5" t="s">
        <v>746</v>
      </c>
    </row>
    <row r="166">
      <c r="A166" s="1" t="s">
        <v>887</v>
      </c>
      <c r="B166" s="5" t="s">
        <v>888</v>
      </c>
      <c r="C166" s="5" t="s">
        <v>76</v>
      </c>
      <c r="D166" s="5" t="s">
        <v>497</v>
      </c>
      <c r="E166" s="35">
        <v>35690.0</v>
      </c>
      <c r="F166" s="5">
        <v>6.28588318688E12</v>
      </c>
      <c r="G166" s="1" t="s">
        <v>889</v>
      </c>
      <c r="H166" s="5" t="s">
        <v>438</v>
      </c>
      <c r="I166" s="5" t="s">
        <v>562</v>
      </c>
      <c r="J166" s="5" t="s">
        <v>267</v>
      </c>
    </row>
    <row r="167">
      <c r="A167" s="1" t="s">
        <v>890</v>
      </c>
      <c r="B167" s="5" t="s">
        <v>891</v>
      </c>
      <c r="C167" s="5" t="s">
        <v>53</v>
      </c>
      <c r="D167" s="5" t="s">
        <v>892</v>
      </c>
      <c r="E167" s="35">
        <v>36848.0</v>
      </c>
      <c r="F167" s="5">
        <v>6.282165758026E12</v>
      </c>
      <c r="G167" s="1" t="s">
        <v>893</v>
      </c>
      <c r="H167" s="5" t="s">
        <v>474</v>
      </c>
      <c r="I167" s="5" t="s">
        <v>57</v>
      </c>
      <c r="J167" s="5" t="s">
        <v>787</v>
      </c>
    </row>
    <row r="168">
      <c r="A168" s="1" t="s">
        <v>894</v>
      </c>
      <c r="B168" s="5" t="s">
        <v>895</v>
      </c>
      <c r="C168" s="5" t="s">
        <v>76</v>
      </c>
      <c r="D168" s="5" t="s">
        <v>618</v>
      </c>
      <c r="E168" s="35">
        <v>37083.0</v>
      </c>
      <c r="F168" s="5">
        <v>6.281398717831E12</v>
      </c>
      <c r="G168" s="1" t="s">
        <v>896</v>
      </c>
      <c r="H168" s="5" t="s">
        <v>293</v>
      </c>
      <c r="I168" s="5" t="s">
        <v>57</v>
      </c>
      <c r="J168" s="5" t="s">
        <v>590</v>
      </c>
    </row>
    <row r="169">
      <c r="A169" s="1" t="s">
        <v>897</v>
      </c>
      <c r="B169" s="5" t="s">
        <v>898</v>
      </c>
      <c r="C169" s="5" t="s">
        <v>53</v>
      </c>
      <c r="D169" s="5" t="s">
        <v>479</v>
      </c>
      <c r="E169" s="35">
        <v>36768.0</v>
      </c>
      <c r="F169" s="5">
        <v>6.289624075183E12</v>
      </c>
      <c r="G169" s="1" t="s">
        <v>899</v>
      </c>
      <c r="H169" s="5" t="s">
        <v>236</v>
      </c>
      <c r="I169" s="5" t="s">
        <v>57</v>
      </c>
      <c r="J169" s="5" t="s">
        <v>517</v>
      </c>
    </row>
    <row r="170">
      <c r="A170" s="1" t="s">
        <v>900</v>
      </c>
      <c r="B170" s="5" t="s">
        <v>901</v>
      </c>
      <c r="C170" s="5" t="s">
        <v>53</v>
      </c>
      <c r="D170" s="5" t="s">
        <v>902</v>
      </c>
      <c r="E170" s="36">
        <v>37301.0</v>
      </c>
      <c r="F170" s="5">
        <v>6.289536020203E13</v>
      </c>
      <c r="G170" s="1" t="s">
        <v>903</v>
      </c>
      <c r="H170" s="5" t="s">
        <v>474</v>
      </c>
      <c r="I170" s="5" t="s">
        <v>562</v>
      </c>
      <c r="J170" s="5" t="s">
        <v>904</v>
      </c>
      <c r="K170" s="5" t="s">
        <v>529</v>
      </c>
      <c r="L170" s="5" t="s">
        <v>905</v>
      </c>
    </row>
    <row r="171">
      <c r="A171" s="1" t="s">
        <v>906</v>
      </c>
      <c r="B171" s="5" t="s">
        <v>907</v>
      </c>
      <c r="C171" s="5" t="s">
        <v>76</v>
      </c>
      <c r="D171" s="5" t="s">
        <v>908</v>
      </c>
      <c r="E171" s="36">
        <v>34534.0</v>
      </c>
      <c r="F171" s="5">
        <v>6.281269377969E12</v>
      </c>
      <c r="G171" s="1" t="s">
        <v>909</v>
      </c>
      <c r="H171" s="5" t="s">
        <v>649</v>
      </c>
      <c r="I171" s="5" t="s">
        <v>57</v>
      </c>
      <c r="J171" s="5" t="s">
        <v>854</v>
      </c>
      <c r="K171" s="5" t="s">
        <v>910</v>
      </c>
      <c r="L171" s="5" t="s">
        <v>697</v>
      </c>
    </row>
    <row r="172">
      <c r="A172" s="1" t="s">
        <v>911</v>
      </c>
      <c r="B172" s="5" t="s">
        <v>912</v>
      </c>
      <c r="C172" s="5" t="s">
        <v>76</v>
      </c>
      <c r="D172" s="5" t="s">
        <v>913</v>
      </c>
      <c r="E172" s="36">
        <v>36450.0</v>
      </c>
      <c r="F172" s="5">
        <v>6.28592324217E12</v>
      </c>
      <c r="G172" s="1" t="s">
        <v>914</v>
      </c>
      <c r="H172" s="5" t="s">
        <v>516</v>
      </c>
      <c r="I172" s="5" t="s">
        <v>57</v>
      </c>
      <c r="J172" s="5" t="s">
        <v>517</v>
      </c>
      <c r="K172" s="5" t="s">
        <v>910</v>
      </c>
      <c r="L172" s="5" t="s">
        <v>915</v>
      </c>
    </row>
    <row r="173">
      <c r="A173" s="1" t="s">
        <v>916</v>
      </c>
      <c r="B173" s="5" t="s">
        <v>917</v>
      </c>
      <c r="C173" s="5" t="s">
        <v>53</v>
      </c>
      <c r="D173" s="5" t="s">
        <v>918</v>
      </c>
      <c r="E173" s="36">
        <v>36072.0</v>
      </c>
      <c r="F173" s="5">
        <v>6.283831619267E12</v>
      </c>
      <c r="G173" s="1" t="s">
        <v>919</v>
      </c>
      <c r="H173" s="5" t="s">
        <v>438</v>
      </c>
      <c r="I173" s="5" t="s">
        <v>57</v>
      </c>
      <c r="J173" s="5" t="s">
        <v>772</v>
      </c>
      <c r="K173" s="5" t="s">
        <v>529</v>
      </c>
      <c r="L173" s="5" t="s">
        <v>564</v>
      </c>
    </row>
    <row r="174">
      <c r="A174" s="1" t="s">
        <v>920</v>
      </c>
      <c r="B174" s="5" t="s">
        <v>921</v>
      </c>
      <c r="C174" s="5" t="s">
        <v>76</v>
      </c>
      <c r="D174" s="5" t="s">
        <v>741</v>
      </c>
      <c r="E174" s="35">
        <v>37116.0</v>
      </c>
      <c r="F174" s="5">
        <v>6.285101827544E12</v>
      </c>
      <c r="G174" s="1" t="s">
        <v>922</v>
      </c>
      <c r="H174" s="5" t="s">
        <v>474</v>
      </c>
      <c r="I174" s="5" t="s">
        <v>57</v>
      </c>
      <c r="J174" s="5" t="s">
        <v>923</v>
      </c>
    </row>
    <row r="175">
      <c r="A175" s="1" t="s">
        <v>924</v>
      </c>
      <c r="B175" s="5" t="s">
        <v>925</v>
      </c>
      <c r="C175" s="5" t="s">
        <v>53</v>
      </c>
      <c r="D175" s="5" t="s">
        <v>537</v>
      </c>
      <c r="E175" s="36">
        <v>37384.0</v>
      </c>
      <c r="F175" s="5">
        <v>6.281381451739E12</v>
      </c>
      <c r="G175" s="1" t="s">
        <v>926</v>
      </c>
      <c r="H175" s="5" t="s">
        <v>474</v>
      </c>
      <c r="I175" s="5" t="s">
        <v>57</v>
      </c>
      <c r="J175" s="5" t="s">
        <v>506</v>
      </c>
      <c r="K175" s="5" t="s">
        <v>529</v>
      </c>
      <c r="L175" s="5" t="s">
        <v>927</v>
      </c>
    </row>
    <row r="176">
      <c r="A176" s="1" t="s">
        <v>928</v>
      </c>
      <c r="B176" s="5" t="s">
        <v>929</v>
      </c>
      <c r="C176" s="5" t="s">
        <v>53</v>
      </c>
      <c r="D176" s="5" t="s">
        <v>637</v>
      </c>
      <c r="E176" s="36">
        <v>36976.0</v>
      </c>
      <c r="F176" s="5">
        <v>6.285218155454E12</v>
      </c>
      <c r="G176" s="1" t="s">
        <v>930</v>
      </c>
      <c r="H176" s="5" t="s">
        <v>293</v>
      </c>
      <c r="I176" s="5" t="s">
        <v>57</v>
      </c>
      <c r="J176" s="5" t="s">
        <v>506</v>
      </c>
      <c r="K176" s="5" t="s">
        <v>931</v>
      </c>
      <c r="L176" s="5" t="s">
        <v>931</v>
      </c>
    </row>
    <row r="177">
      <c r="A177" s="1" t="s">
        <v>932</v>
      </c>
      <c r="B177" s="5" t="s">
        <v>933</v>
      </c>
      <c r="C177" s="5" t="s">
        <v>53</v>
      </c>
      <c r="D177" s="5" t="s">
        <v>271</v>
      </c>
      <c r="E177" s="36">
        <v>35128.0</v>
      </c>
      <c r="F177" s="5">
        <v>6.282121206498E12</v>
      </c>
      <c r="G177" s="1" t="s">
        <v>934</v>
      </c>
      <c r="H177" s="5" t="s">
        <v>649</v>
      </c>
      <c r="I177" s="5" t="s">
        <v>57</v>
      </c>
      <c r="J177" s="5" t="s">
        <v>267</v>
      </c>
      <c r="K177" s="5" t="s">
        <v>529</v>
      </c>
      <c r="L177" s="5" t="s">
        <v>677</v>
      </c>
    </row>
    <row r="178">
      <c r="A178" s="1" t="s">
        <v>935</v>
      </c>
      <c r="B178" s="5" t="s">
        <v>936</v>
      </c>
      <c r="C178" s="5" t="s">
        <v>53</v>
      </c>
      <c r="D178" s="5" t="s">
        <v>937</v>
      </c>
      <c r="E178" s="36">
        <v>34341.0</v>
      </c>
      <c r="F178" s="5">
        <v>6.287859845907E12</v>
      </c>
      <c r="G178" s="1" t="s">
        <v>938</v>
      </c>
      <c r="H178" s="5" t="s">
        <v>939</v>
      </c>
      <c r="I178" s="5" t="s">
        <v>57</v>
      </c>
      <c r="J178" s="5" t="s">
        <v>772</v>
      </c>
      <c r="K178" s="5" t="s">
        <v>940</v>
      </c>
      <c r="L178" s="5" t="s">
        <v>941</v>
      </c>
    </row>
    <row r="179">
      <c r="A179" s="1" t="s">
        <v>942</v>
      </c>
      <c r="B179" s="5" t="s">
        <v>943</v>
      </c>
      <c r="C179" s="5" t="s">
        <v>53</v>
      </c>
      <c r="D179" s="5" t="s">
        <v>119</v>
      </c>
      <c r="E179" s="35">
        <v>35430.0</v>
      </c>
      <c r="F179" s="5">
        <v>6.281333987725E12</v>
      </c>
      <c r="G179" s="1" t="s">
        <v>944</v>
      </c>
      <c r="H179" s="5" t="s">
        <v>308</v>
      </c>
      <c r="I179" s="5" t="s">
        <v>57</v>
      </c>
      <c r="J179" s="5" t="s">
        <v>506</v>
      </c>
    </row>
    <row r="180">
      <c r="A180" s="1" t="s">
        <v>945</v>
      </c>
      <c r="B180" s="5" t="s">
        <v>946</v>
      </c>
      <c r="C180" s="5" t="s">
        <v>76</v>
      </c>
      <c r="D180" s="5" t="s">
        <v>537</v>
      </c>
      <c r="E180" s="35">
        <v>35722.0</v>
      </c>
      <c r="F180" s="5">
        <v>6.285722042625E12</v>
      </c>
      <c r="G180" s="1" t="s">
        <v>947</v>
      </c>
      <c r="H180" s="5" t="s">
        <v>308</v>
      </c>
      <c r="I180" s="5" t="s">
        <v>57</v>
      </c>
      <c r="J180" s="5" t="s">
        <v>267</v>
      </c>
    </row>
    <row r="181">
      <c r="A181" s="1" t="s">
        <v>948</v>
      </c>
      <c r="B181" s="5" t="s">
        <v>949</v>
      </c>
      <c r="C181" s="5" t="s">
        <v>76</v>
      </c>
      <c r="D181" s="5" t="s">
        <v>950</v>
      </c>
      <c r="E181" s="35">
        <v>36918.0</v>
      </c>
      <c r="F181" s="5">
        <v>6.282117859056E12</v>
      </c>
      <c r="G181" s="1" t="s">
        <v>951</v>
      </c>
      <c r="H181" s="5" t="s">
        <v>293</v>
      </c>
      <c r="I181" s="5" t="s">
        <v>57</v>
      </c>
      <c r="J181" s="5" t="s">
        <v>952</v>
      </c>
    </row>
    <row r="182">
      <c r="A182" s="1" t="s">
        <v>953</v>
      </c>
      <c r="B182" s="5" t="s">
        <v>954</v>
      </c>
      <c r="C182" s="5" t="s">
        <v>76</v>
      </c>
      <c r="D182" s="5" t="s">
        <v>955</v>
      </c>
      <c r="E182" s="35">
        <v>36462.0</v>
      </c>
      <c r="F182" s="5">
        <v>6.282183972097E12</v>
      </c>
      <c r="G182" s="1" t="s">
        <v>956</v>
      </c>
      <c r="H182" s="5" t="s">
        <v>516</v>
      </c>
      <c r="I182" s="5" t="s">
        <v>57</v>
      </c>
      <c r="J182" s="5" t="s">
        <v>854</v>
      </c>
    </row>
    <row r="183">
      <c r="A183" s="1" t="s">
        <v>957</v>
      </c>
      <c r="B183" s="5" t="s">
        <v>958</v>
      </c>
      <c r="C183" s="5" t="s">
        <v>53</v>
      </c>
      <c r="D183" s="5" t="s">
        <v>271</v>
      </c>
      <c r="E183" s="36">
        <v>37318.0</v>
      </c>
      <c r="F183" s="5">
        <v>6.287834624364E12</v>
      </c>
      <c r="G183" s="1" t="s">
        <v>959</v>
      </c>
      <c r="H183" s="5" t="s">
        <v>544</v>
      </c>
      <c r="I183" s="5" t="s">
        <v>562</v>
      </c>
      <c r="J183" s="5" t="s">
        <v>798</v>
      </c>
      <c r="K183" s="5" t="s">
        <v>529</v>
      </c>
      <c r="L183" s="5" t="s">
        <v>692</v>
      </c>
    </row>
    <row r="184">
      <c r="A184" s="1" t="s">
        <v>960</v>
      </c>
      <c r="B184" s="5" t="s">
        <v>961</v>
      </c>
      <c r="C184" s="5" t="s">
        <v>76</v>
      </c>
      <c r="D184" s="5" t="s">
        <v>705</v>
      </c>
      <c r="E184" s="36">
        <v>37419.0</v>
      </c>
      <c r="F184" s="5">
        <v>6.2898535764E11</v>
      </c>
      <c r="G184" s="1" t="s">
        <v>962</v>
      </c>
      <c r="H184" s="5" t="s">
        <v>474</v>
      </c>
      <c r="I184" s="5" t="s">
        <v>57</v>
      </c>
      <c r="J184" s="5" t="s">
        <v>807</v>
      </c>
      <c r="K184" s="5" t="s">
        <v>523</v>
      </c>
      <c r="L184" s="5" t="s">
        <v>577</v>
      </c>
    </row>
    <row r="185">
      <c r="A185" s="1" t="s">
        <v>963</v>
      </c>
      <c r="B185" s="5" t="s">
        <v>964</v>
      </c>
      <c r="C185" s="5" t="s">
        <v>76</v>
      </c>
      <c r="D185" s="5" t="s">
        <v>741</v>
      </c>
      <c r="E185" s="36">
        <v>36897.0</v>
      </c>
      <c r="F185" s="5">
        <v>6.281296442558E12</v>
      </c>
      <c r="G185" s="1" t="s">
        <v>965</v>
      </c>
      <c r="H185" s="5" t="s">
        <v>293</v>
      </c>
      <c r="I185" s="5" t="s">
        <v>57</v>
      </c>
      <c r="J185" s="5" t="s">
        <v>576</v>
      </c>
      <c r="K185" s="5" t="s">
        <v>848</v>
      </c>
      <c r="L185" s="5" t="s">
        <v>849</v>
      </c>
    </row>
    <row r="186">
      <c r="A186" s="1" t="s">
        <v>966</v>
      </c>
      <c r="B186" s="5" t="s">
        <v>967</v>
      </c>
      <c r="C186" s="5" t="s">
        <v>76</v>
      </c>
      <c r="D186" s="5" t="s">
        <v>968</v>
      </c>
      <c r="E186" s="36">
        <v>37171.0</v>
      </c>
      <c r="F186" s="5">
        <v>6.28969704328E12</v>
      </c>
      <c r="G186" s="1" t="s">
        <v>969</v>
      </c>
      <c r="H186" s="5" t="s">
        <v>293</v>
      </c>
      <c r="I186" s="5" t="s">
        <v>57</v>
      </c>
      <c r="J186" s="5" t="s">
        <v>506</v>
      </c>
      <c r="K186" s="5" t="s">
        <v>842</v>
      </c>
      <c r="L186" s="5" t="s">
        <v>799</v>
      </c>
    </row>
    <row r="187">
      <c r="A187" s="1" t="s">
        <v>970</v>
      </c>
      <c r="B187" s="5" t="s">
        <v>971</v>
      </c>
      <c r="C187" s="5" t="s">
        <v>76</v>
      </c>
      <c r="D187" s="5" t="s">
        <v>972</v>
      </c>
      <c r="E187" s="35">
        <v>36968.0</v>
      </c>
      <c r="F187" s="5">
        <v>6.2895126946E12</v>
      </c>
      <c r="G187" s="1" t="s">
        <v>973</v>
      </c>
      <c r="H187" s="5" t="s">
        <v>474</v>
      </c>
      <c r="I187" s="5" t="s">
        <v>57</v>
      </c>
      <c r="J187" s="5" t="s">
        <v>576</v>
      </c>
    </row>
    <row r="188">
      <c r="A188" s="1" t="s">
        <v>974</v>
      </c>
      <c r="B188" s="5" t="s">
        <v>975</v>
      </c>
      <c r="C188" s="5" t="s">
        <v>76</v>
      </c>
      <c r="D188" s="5" t="s">
        <v>976</v>
      </c>
      <c r="E188" s="36">
        <v>33520.0</v>
      </c>
      <c r="F188" s="5">
        <v>6.285269733375E12</v>
      </c>
      <c r="G188" s="1" t="s">
        <v>977</v>
      </c>
      <c r="H188" s="5" t="s">
        <v>499</v>
      </c>
      <c r="I188" s="5" t="s">
        <v>57</v>
      </c>
      <c r="J188" s="5" t="s">
        <v>854</v>
      </c>
      <c r="K188" s="5" t="s">
        <v>529</v>
      </c>
      <c r="L188" s="5" t="s">
        <v>677</v>
      </c>
    </row>
    <row r="189">
      <c r="A189" s="1" t="s">
        <v>978</v>
      </c>
      <c r="B189" s="5" t="s">
        <v>979</v>
      </c>
      <c r="C189" s="5" t="s">
        <v>53</v>
      </c>
      <c r="D189" s="5" t="s">
        <v>689</v>
      </c>
      <c r="E189" s="36">
        <v>36445.0</v>
      </c>
      <c r="F189" s="5">
        <v>6.285864022236E12</v>
      </c>
      <c r="G189" s="1" t="s">
        <v>980</v>
      </c>
      <c r="H189" s="5" t="s">
        <v>236</v>
      </c>
      <c r="I189" s="5" t="s">
        <v>562</v>
      </c>
      <c r="J189" s="5" t="s">
        <v>798</v>
      </c>
      <c r="K189" s="5" t="s">
        <v>529</v>
      </c>
      <c r="L189" s="5" t="s">
        <v>692</v>
      </c>
    </row>
    <row r="190">
      <c r="A190" s="1" t="s">
        <v>981</v>
      </c>
      <c r="B190" s="5" t="s">
        <v>982</v>
      </c>
      <c r="C190" s="5" t="s">
        <v>76</v>
      </c>
      <c r="D190" s="5" t="s">
        <v>497</v>
      </c>
      <c r="E190" s="36">
        <v>36438.0</v>
      </c>
      <c r="F190" s="5">
        <v>6.289665785383E12</v>
      </c>
      <c r="G190" s="1" t="s">
        <v>983</v>
      </c>
      <c r="H190" s="5" t="s">
        <v>236</v>
      </c>
      <c r="I190" s="5" t="s">
        <v>57</v>
      </c>
      <c r="J190" s="5" t="s">
        <v>984</v>
      </c>
      <c r="K190" s="5" t="s">
        <v>500</v>
      </c>
      <c r="L190" s="5" t="s">
        <v>615</v>
      </c>
    </row>
    <row r="191">
      <c r="A191" s="1" t="s">
        <v>985</v>
      </c>
      <c r="B191" s="5" t="s">
        <v>986</v>
      </c>
      <c r="C191" s="5" t="s">
        <v>53</v>
      </c>
      <c r="D191" s="5" t="s">
        <v>968</v>
      </c>
      <c r="E191" s="36">
        <v>35752.0</v>
      </c>
      <c r="F191" s="5">
        <v>6.282234331435E12</v>
      </c>
      <c r="G191" s="1" t="s">
        <v>987</v>
      </c>
      <c r="H191" s="5" t="s">
        <v>308</v>
      </c>
      <c r="I191" s="5" t="s">
        <v>57</v>
      </c>
      <c r="J191" s="5" t="s">
        <v>506</v>
      </c>
      <c r="K191" s="5" t="s">
        <v>523</v>
      </c>
      <c r="L191" s="5" t="s">
        <v>524</v>
      </c>
    </row>
    <row r="192">
      <c r="A192" s="1" t="s">
        <v>988</v>
      </c>
      <c r="B192" s="5" t="s">
        <v>989</v>
      </c>
      <c r="C192" s="5" t="s">
        <v>53</v>
      </c>
      <c r="D192" s="5" t="s">
        <v>497</v>
      </c>
      <c r="E192" s="35">
        <v>35737.0</v>
      </c>
      <c r="F192" s="5">
        <v>6.289514950916E12</v>
      </c>
      <c r="G192" s="1" t="s">
        <v>990</v>
      </c>
      <c r="H192" s="5" t="s">
        <v>516</v>
      </c>
      <c r="I192" s="5" t="s">
        <v>57</v>
      </c>
      <c r="J192" s="5" t="s">
        <v>991</v>
      </c>
    </row>
    <row r="193">
      <c r="A193" s="1" t="s">
        <v>992</v>
      </c>
      <c r="B193" s="5" t="s">
        <v>993</v>
      </c>
      <c r="C193" s="5" t="s">
        <v>76</v>
      </c>
      <c r="D193" s="5" t="s">
        <v>994</v>
      </c>
      <c r="E193" s="36">
        <v>36085.0</v>
      </c>
      <c r="F193" s="5">
        <v>6.2813336077088E13</v>
      </c>
      <c r="G193" s="1" t="s">
        <v>995</v>
      </c>
      <c r="H193" s="5" t="s">
        <v>516</v>
      </c>
      <c r="I193" s="5" t="s">
        <v>57</v>
      </c>
      <c r="J193" s="5" t="s">
        <v>996</v>
      </c>
      <c r="K193" s="5" t="s">
        <v>997</v>
      </c>
      <c r="L193" s="5" t="s">
        <v>677</v>
      </c>
    </row>
    <row r="194">
      <c r="A194" s="1" t="s">
        <v>998</v>
      </c>
      <c r="B194" s="5" t="s">
        <v>999</v>
      </c>
      <c r="C194" s="5" t="s">
        <v>53</v>
      </c>
      <c r="D194" s="5" t="s">
        <v>1000</v>
      </c>
      <c r="E194" s="36">
        <v>36255.0</v>
      </c>
      <c r="F194" s="5">
        <v>6.282333336248E12</v>
      </c>
      <c r="G194" s="1" t="s">
        <v>1001</v>
      </c>
      <c r="H194" s="5" t="s">
        <v>236</v>
      </c>
      <c r="I194" s="5" t="s">
        <v>57</v>
      </c>
      <c r="J194" s="5" t="s">
        <v>1002</v>
      </c>
      <c r="K194" s="5" t="s">
        <v>1003</v>
      </c>
      <c r="L194" s="5" t="s">
        <v>1004</v>
      </c>
    </row>
    <row r="195">
      <c r="A195" s="1" t="s">
        <v>1005</v>
      </c>
      <c r="B195" s="5" t="s">
        <v>1006</v>
      </c>
      <c r="C195" s="5" t="s">
        <v>76</v>
      </c>
      <c r="D195" s="5" t="s">
        <v>1007</v>
      </c>
      <c r="E195" s="36">
        <v>37204.0</v>
      </c>
      <c r="F195" s="5">
        <v>6.281292264919E12</v>
      </c>
      <c r="G195" s="1" t="s">
        <v>1008</v>
      </c>
      <c r="H195" s="5" t="s">
        <v>474</v>
      </c>
      <c r="I195" s="5" t="s">
        <v>57</v>
      </c>
      <c r="J195" s="5" t="s">
        <v>847</v>
      </c>
      <c r="K195" s="5" t="s">
        <v>697</v>
      </c>
      <c r="L195" s="5" t="s">
        <v>697</v>
      </c>
    </row>
    <row r="196">
      <c r="A196" s="1" t="s">
        <v>1009</v>
      </c>
      <c r="B196" s="5" t="s">
        <v>1010</v>
      </c>
      <c r="C196" s="5" t="s">
        <v>76</v>
      </c>
      <c r="D196" s="5" t="s">
        <v>537</v>
      </c>
      <c r="E196" s="36">
        <v>37605.0</v>
      </c>
      <c r="F196" s="5">
        <v>6.285694532014E12</v>
      </c>
      <c r="G196" s="1" t="s">
        <v>1011</v>
      </c>
      <c r="H196" s="5" t="s">
        <v>474</v>
      </c>
      <c r="I196" s="5" t="s">
        <v>57</v>
      </c>
      <c r="J196" s="5" t="s">
        <v>991</v>
      </c>
      <c r="K196" s="5" t="s">
        <v>539</v>
      </c>
      <c r="L196" s="5" t="s">
        <v>540</v>
      </c>
    </row>
    <row r="197">
      <c r="A197" s="1" t="s">
        <v>1012</v>
      </c>
      <c r="B197" s="5" t="s">
        <v>1013</v>
      </c>
      <c r="C197" s="5" t="s">
        <v>76</v>
      </c>
      <c r="D197" s="5" t="s">
        <v>968</v>
      </c>
      <c r="E197" s="36">
        <v>36927.0</v>
      </c>
      <c r="F197" s="5">
        <v>6.28986391816E11</v>
      </c>
      <c r="G197" s="1" t="s">
        <v>1014</v>
      </c>
      <c r="H197" s="5" t="s">
        <v>293</v>
      </c>
      <c r="I197" s="5" t="s">
        <v>57</v>
      </c>
      <c r="J197" s="5" t="s">
        <v>506</v>
      </c>
      <c r="K197" s="5" t="s">
        <v>1015</v>
      </c>
      <c r="L197" s="5" t="s">
        <v>1015</v>
      </c>
    </row>
    <row r="198">
      <c r="A198" s="1" t="s">
        <v>1016</v>
      </c>
      <c r="B198" s="5" t="s">
        <v>1017</v>
      </c>
      <c r="C198" s="5" t="s">
        <v>76</v>
      </c>
      <c r="D198" s="5" t="s">
        <v>641</v>
      </c>
      <c r="E198" s="36">
        <v>37454.0</v>
      </c>
      <c r="F198" s="5">
        <v>6.28228084867E12</v>
      </c>
      <c r="G198" s="1" t="s">
        <v>1018</v>
      </c>
      <c r="H198" s="5" t="s">
        <v>474</v>
      </c>
      <c r="I198" s="5" t="s">
        <v>57</v>
      </c>
      <c r="J198" s="5" t="s">
        <v>643</v>
      </c>
      <c r="K198" s="5" t="s">
        <v>848</v>
      </c>
      <c r="L198" s="5" t="s">
        <v>848</v>
      </c>
    </row>
    <row r="199">
      <c r="A199" s="1" t="s">
        <v>1019</v>
      </c>
      <c r="B199" s="5" t="s">
        <v>1020</v>
      </c>
      <c r="C199" s="5" t="s">
        <v>76</v>
      </c>
      <c r="D199" s="5" t="s">
        <v>537</v>
      </c>
      <c r="E199" s="36">
        <v>36165.0</v>
      </c>
      <c r="F199" s="5">
        <v>6.285891516212E12</v>
      </c>
      <c r="G199" s="1" t="s">
        <v>1021</v>
      </c>
      <c r="H199" s="5" t="s">
        <v>516</v>
      </c>
      <c r="I199" s="5" t="s">
        <v>57</v>
      </c>
      <c r="J199" s="5" t="s">
        <v>590</v>
      </c>
      <c r="K199" s="5" t="s">
        <v>539</v>
      </c>
      <c r="L199" s="5" t="s">
        <v>799</v>
      </c>
    </row>
    <row r="200">
      <c r="A200" s="1" t="s">
        <v>1022</v>
      </c>
      <c r="B200" s="5" t="s">
        <v>1023</v>
      </c>
      <c r="C200" s="5" t="s">
        <v>53</v>
      </c>
      <c r="D200" s="5" t="s">
        <v>968</v>
      </c>
      <c r="E200" s="35">
        <v>36932.0</v>
      </c>
      <c r="F200" s="5">
        <v>6.28222816372E12</v>
      </c>
      <c r="G200" s="1" t="s">
        <v>1024</v>
      </c>
      <c r="H200" s="5" t="s">
        <v>293</v>
      </c>
      <c r="I200" s="5" t="s">
        <v>562</v>
      </c>
      <c r="J200" s="5" t="s">
        <v>506</v>
      </c>
    </row>
    <row r="201">
      <c r="A201" s="1" t="s">
        <v>1025</v>
      </c>
      <c r="B201" s="5" t="s">
        <v>1026</v>
      </c>
      <c r="C201" s="5" t="s">
        <v>53</v>
      </c>
      <c r="D201" s="5" t="s">
        <v>567</v>
      </c>
      <c r="E201" s="36">
        <v>33267.0</v>
      </c>
      <c r="F201" s="5">
        <v>6.282349603125E12</v>
      </c>
      <c r="G201" s="1" t="s">
        <v>1027</v>
      </c>
      <c r="H201" s="5" t="s">
        <v>499</v>
      </c>
      <c r="I201" s="5" t="s">
        <v>57</v>
      </c>
      <c r="J201" s="5" t="s">
        <v>506</v>
      </c>
      <c r="K201" s="5" t="s">
        <v>556</v>
      </c>
      <c r="L201" s="5" t="s">
        <v>808</v>
      </c>
    </row>
    <row r="202">
      <c r="A202" s="1" t="s">
        <v>1028</v>
      </c>
      <c r="B202" s="5" t="s">
        <v>1029</v>
      </c>
      <c r="C202" s="5" t="s">
        <v>53</v>
      </c>
      <c r="D202" s="5" t="s">
        <v>1030</v>
      </c>
      <c r="E202" s="36">
        <v>33010.0</v>
      </c>
      <c r="F202" s="5">
        <v>6.281378006338E12</v>
      </c>
      <c r="G202" s="1" t="s">
        <v>1031</v>
      </c>
      <c r="H202" s="5" t="s">
        <v>1032</v>
      </c>
      <c r="I202" s="5" t="s">
        <v>57</v>
      </c>
      <c r="J202" s="5" t="s">
        <v>952</v>
      </c>
      <c r="K202" s="5" t="s">
        <v>556</v>
      </c>
      <c r="L202" s="5" t="s">
        <v>808</v>
      </c>
    </row>
    <row r="203">
      <c r="A203" s="1" t="s">
        <v>1033</v>
      </c>
      <c r="B203" s="5" t="s">
        <v>1034</v>
      </c>
      <c r="C203" s="5" t="s">
        <v>76</v>
      </c>
      <c r="D203" s="5" t="s">
        <v>537</v>
      </c>
      <c r="E203" s="36">
        <v>35372.0</v>
      </c>
      <c r="F203" s="5">
        <v>6.281286316521E12</v>
      </c>
      <c r="G203" s="1" t="s">
        <v>1035</v>
      </c>
      <c r="H203" s="5" t="s">
        <v>308</v>
      </c>
      <c r="I203" s="5" t="s">
        <v>57</v>
      </c>
      <c r="J203" s="5" t="s">
        <v>858</v>
      </c>
      <c r="K203" s="5" t="s">
        <v>672</v>
      </c>
      <c r="L203" s="5" t="s">
        <v>1036</v>
      </c>
    </row>
    <row r="204">
      <c r="A204" s="1" t="s">
        <v>1037</v>
      </c>
      <c r="B204" s="5" t="s">
        <v>1038</v>
      </c>
      <c r="C204" s="5" t="s">
        <v>76</v>
      </c>
      <c r="D204" s="5" t="s">
        <v>1039</v>
      </c>
      <c r="E204" s="36">
        <v>36978.0</v>
      </c>
      <c r="F204" s="5">
        <v>6.2881854882E11</v>
      </c>
      <c r="G204" s="1" t="s">
        <v>1040</v>
      </c>
      <c r="H204" s="5" t="s">
        <v>293</v>
      </c>
      <c r="I204" s="5" t="s">
        <v>57</v>
      </c>
      <c r="J204" s="5" t="s">
        <v>847</v>
      </c>
      <c r="K204" s="5" t="s">
        <v>697</v>
      </c>
      <c r="L204" s="5" t="s">
        <v>697</v>
      </c>
    </row>
    <row r="205">
      <c r="A205" s="1" t="s">
        <v>1041</v>
      </c>
      <c r="B205" s="5" t="s">
        <v>1042</v>
      </c>
      <c r="C205" s="5" t="s">
        <v>76</v>
      </c>
      <c r="D205" s="5" t="s">
        <v>537</v>
      </c>
      <c r="E205" s="35">
        <v>35132.0</v>
      </c>
      <c r="F205" s="5">
        <v>6.281287122903E12</v>
      </c>
      <c r="G205" s="1" t="s">
        <v>1043</v>
      </c>
      <c r="H205" s="5" t="s">
        <v>481</v>
      </c>
      <c r="I205" s="5" t="s">
        <v>57</v>
      </c>
      <c r="J205" s="5" t="s">
        <v>1044</v>
      </c>
    </row>
    <row r="206">
      <c r="A206" s="1" t="s">
        <v>1045</v>
      </c>
      <c r="B206" s="5" t="s">
        <v>1046</v>
      </c>
      <c r="C206" s="5" t="s">
        <v>53</v>
      </c>
      <c r="D206" s="5" t="s">
        <v>373</v>
      </c>
      <c r="E206" s="36">
        <v>37483.0</v>
      </c>
      <c r="F206" s="5">
        <v>6.289509253427E12</v>
      </c>
      <c r="G206" s="1" t="s">
        <v>1047</v>
      </c>
      <c r="H206" s="5" t="s">
        <v>474</v>
      </c>
      <c r="I206" s="5" t="s">
        <v>57</v>
      </c>
      <c r="J206" s="5" t="s">
        <v>1048</v>
      </c>
      <c r="K206" s="5" t="s">
        <v>848</v>
      </c>
      <c r="L206" s="5" t="s">
        <v>849</v>
      </c>
    </row>
    <row r="207">
      <c r="A207" s="1" t="s">
        <v>1049</v>
      </c>
      <c r="B207" s="5" t="s">
        <v>1050</v>
      </c>
      <c r="C207" s="5" t="s">
        <v>76</v>
      </c>
      <c r="D207" s="5" t="s">
        <v>618</v>
      </c>
      <c r="E207" s="36">
        <v>37446.0</v>
      </c>
      <c r="F207" s="5">
        <v>6.285728794446E12</v>
      </c>
      <c r="G207" s="1" t="s">
        <v>1051</v>
      </c>
      <c r="H207" s="5" t="s">
        <v>474</v>
      </c>
      <c r="I207" s="5" t="s">
        <v>57</v>
      </c>
      <c r="J207" s="5" t="s">
        <v>517</v>
      </c>
      <c r="K207" s="5" t="s">
        <v>529</v>
      </c>
      <c r="L207" s="5" t="s">
        <v>692</v>
      </c>
    </row>
    <row r="208">
      <c r="A208" s="1" t="s">
        <v>1052</v>
      </c>
      <c r="B208" s="5" t="s">
        <v>1053</v>
      </c>
      <c r="C208" s="5" t="s">
        <v>53</v>
      </c>
      <c r="D208" s="5" t="s">
        <v>1054</v>
      </c>
      <c r="E208" s="35">
        <v>32553.0</v>
      </c>
      <c r="F208" s="5">
        <v>6.285866288509E12</v>
      </c>
      <c r="G208" s="1" t="s">
        <v>1055</v>
      </c>
      <c r="H208" s="5" t="s">
        <v>190</v>
      </c>
      <c r="I208" s="5" t="s">
        <v>57</v>
      </c>
      <c r="J208" s="5" t="s">
        <v>506</v>
      </c>
    </row>
    <row r="209">
      <c r="A209" s="1" t="s">
        <v>1056</v>
      </c>
      <c r="B209" s="5" t="s">
        <v>1057</v>
      </c>
      <c r="C209" s="5" t="s">
        <v>53</v>
      </c>
      <c r="D209" s="5" t="s">
        <v>1058</v>
      </c>
      <c r="E209" s="36">
        <v>34245.0</v>
      </c>
      <c r="F209" s="5">
        <v>6.28112553335E11</v>
      </c>
      <c r="G209" s="1" t="s">
        <v>1059</v>
      </c>
      <c r="H209" s="5" t="s">
        <v>481</v>
      </c>
      <c r="I209" s="5" t="s">
        <v>57</v>
      </c>
      <c r="J209" s="5" t="s">
        <v>1060</v>
      </c>
      <c r="K209" s="5" t="s">
        <v>1061</v>
      </c>
      <c r="L209" s="5" t="s">
        <v>1062</v>
      </c>
    </row>
    <row r="210">
      <c r="A210" s="1" t="s">
        <v>1063</v>
      </c>
      <c r="B210" s="5" t="s">
        <v>1064</v>
      </c>
      <c r="C210" s="5" t="s">
        <v>53</v>
      </c>
      <c r="D210" s="5" t="s">
        <v>472</v>
      </c>
      <c r="E210" s="35">
        <v>31576.0</v>
      </c>
      <c r="F210" s="5">
        <v>6.285640119166E12</v>
      </c>
      <c r="G210" s="1"/>
      <c r="H210" s="5" t="s">
        <v>1065</v>
      </c>
      <c r="I210" s="5" t="s">
        <v>57</v>
      </c>
      <c r="J210" s="5" t="s">
        <v>475</v>
      </c>
    </row>
    <row r="211">
      <c r="A211" s="1" t="s">
        <v>1066</v>
      </c>
      <c r="B211" s="5" t="s">
        <v>1067</v>
      </c>
      <c r="C211" s="5" t="s">
        <v>76</v>
      </c>
      <c r="D211" s="5" t="s">
        <v>537</v>
      </c>
      <c r="E211" s="36">
        <v>37530.0</v>
      </c>
      <c r="F211" s="5">
        <v>6.287777670671E12</v>
      </c>
      <c r="G211" s="1" t="s">
        <v>1068</v>
      </c>
      <c r="H211" s="5" t="s">
        <v>474</v>
      </c>
      <c r="I211" s="5" t="s">
        <v>57</v>
      </c>
      <c r="J211" s="5" t="s">
        <v>707</v>
      </c>
      <c r="K211" s="5" t="s">
        <v>1069</v>
      </c>
      <c r="L211" s="5" t="s">
        <v>577</v>
      </c>
    </row>
    <row r="212">
      <c r="A212" s="1" t="s">
        <v>1070</v>
      </c>
      <c r="B212" s="5" t="s">
        <v>1071</v>
      </c>
      <c r="C212" s="5" t="s">
        <v>53</v>
      </c>
      <c r="D212" s="5" t="s">
        <v>1072</v>
      </c>
      <c r="E212" s="35">
        <v>37587.0</v>
      </c>
      <c r="F212" s="5">
        <v>6.281243026478E12</v>
      </c>
      <c r="G212" s="1" t="s">
        <v>1073</v>
      </c>
      <c r="H212" s="5" t="s">
        <v>474</v>
      </c>
      <c r="I212" s="5" t="s">
        <v>57</v>
      </c>
      <c r="J212" s="5" t="s">
        <v>248</v>
      </c>
    </row>
    <row r="213">
      <c r="A213" s="1" t="s">
        <v>1074</v>
      </c>
      <c r="B213" s="5" t="s">
        <v>1075</v>
      </c>
      <c r="C213" s="5" t="s">
        <v>76</v>
      </c>
      <c r="D213" s="5" t="s">
        <v>271</v>
      </c>
      <c r="E213" s="35">
        <v>32447.0</v>
      </c>
      <c r="F213" s="5">
        <v>6.28128450307E11</v>
      </c>
      <c r="G213" s="1" t="s">
        <v>1076</v>
      </c>
      <c r="H213" s="5" t="s">
        <v>190</v>
      </c>
      <c r="I213" s="5" t="s">
        <v>57</v>
      </c>
      <c r="J213" s="5" t="s">
        <v>707</v>
      </c>
    </row>
    <row r="214">
      <c r="A214" s="1" t="s">
        <v>1077</v>
      </c>
      <c r="B214" s="5" t="s">
        <v>1078</v>
      </c>
      <c r="C214" s="5" t="s">
        <v>76</v>
      </c>
      <c r="D214" s="5" t="s">
        <v>1079</v>
      </c>
      <c r="E214" s="35">
        <v>35682.0</v>
      </c>
      <c r="F214" s="5">
        <v>6.287717419325E12</v>
      </c>
      <c r="G214" s="1" t="s">
        <v>1080</v>
      </c>
      <c r="H214" s="5" t="s">
        <v>438</v>
      </c>
      <c r="I214" s="5" t="s">
        <v>57</v>
      </c>
      <c r="J214" s="5" t="s">
        <v>506</v>
      </c>
    </row>
    <row r="215">
      <c r="A215" s="1" t="s">
        <v>1081</v>
      </c>
      <c r="B215" s="5" t="s">
        <v>1082</v>
      </c>
      <c r="C215" s="5" t="s">
        <v>76</v>
      </c>
      <c r="D215" s="5" t="s">
        <v>271</v>
      </c>
      <c r="E215" s="36">
        <v>35899.0</v>
      </c>
      <c r="F215" s="5">
        <v>6.282295445481E12</v>
      </c>
      <c r="G215" s="1" t="s">
        <v>1083</v>
      </c>
      <c r="H215" s="5" t="s">
        <v>516</v>
      </c>
      <c r="I215" s="5" t="s">
        <v>57</v>
      </c>
      <c r="J215" s="5" t="s">
        <v>385</v>
      </c>
      <c r="K215" s="5" t="s">
        <v>848</v>
      </c>
      <c r="L215" s="5" t="s">
        <v>849</v>
      </c>
    </row>
    <row r="216">
      <c r="A216" s="1" t="s">
        <v>1084</v>
      </c>
      <c r="B216" s="5" t="s">
        <v>1085</v>
      </c>
      <c r="C216" s="5" t="s">
        <v>76</v>
      </c>
      <c r="D216" s="5" t="s">
        <v>618</v>
      </c>
      <c r="E216" s="36">
        <v>36237.0</v>
      </c>
      <c r="F216" s="5">
        <v>6.28529367828E12</v>
      </c>
      <c r="G216" s="1" t="s">
        <v>1086</v>
      </c>
      <c r="H216" s="5" t="s">
        <v>516</v>
      </c>
      <c r="I216" s="5" t="s">
        <v>57</v>
      </c>
      <c r="J216" s="5" t="s">
        <v>517</v>
      </c>
      <c r="K216" s="5" t="s">
        <v>539</v>
      </c>
      <c r="L216" s="5" t="s">
        <v>540</v>
      </c>
    </row>
    <row r="217">
      <c r="A217" s="1" t="s">
        <v>1087</v>
      </c>
      <c r="B217" s="5" t="s">
        <v>1088</v>
      </c>
      <c r="C217" s="5" t="s">
        <v>76</v>
      </c>
      <c r="D217" s="5" t="s">
        <v>1089</v>
      </c>
      <c r="E217" s="35">
        <v>37021.0</v>
      </c>
      <c r="F217" s="5">
        <v>6.281564675737E12</v>
      </c>
      <c r="G217" s="1" t="s">
        <v>1090</v>
      </c>
      <c r="H217" s="5" t="s">
        <v>474</v>
      </c>
      <c r="I217" s="5" t="s">
        <v>57</v>
      </c>
      <c r="J217" s="5" t="s">
        <v>858</v>
      </c>
    </row>
    <row r="218">
      <c r="A218" s="1" t="s">
        <v>1091</v>
      </c>
      <c r="B218" s="5" t="s">
        <v>1092</v>
      </c>
      <c r="C218" s="5" t="s">
        <v>76</v>
      </c>
      <c r="D218" s="5" t="s">
        <v>972</v>
      </c>
      <c r="E218" s="35">
        <v>37114.0</v>
      </c>
      <c r="F218" s="5">
        <v>6.287886160882E12</v>
      </c>
      <c r="G218" s="1" t="s">
        <v>1093</v>
      </c>
      <c r="H218" s="5" t="s">
        <v>293</v>
      </c>
      <c r="I218" s="5" t="s">
        <v>57</v>
      </c>
      <c r="J218" s="5" t="s">
        <v>576</v>
      </c>
    </row>
    <row r="219">
      <c r="A219" s="1" t="s">
        <v>1094</v>
      </c>
      <c r="B219" s="5" t="s">
        <v>1095</v>
      </c>
      <c r="C219" s="5" t="s">
        <v>53</v>
      </c>
      <c r="D219" s="5" t="s">
        <v>271</v>
      </c>
      <c r="E219" s="36">
        <v>34735.0</v>
      </c>
      <c r="F219" s="5">
        <v>6.282120070701E12</v>
      </c>
      <c r="G219" s="1" t="s">
        <v>1096</v>
      </c>
      <c r="H219" s="5" t="s">
        <v>649</v>
      </c>
      <c r="I219" s="5" t="s">
        <v>57</v>
      </c>
      <c r="J219" s="5" t="s">
        <v>1097</v>
      </c>
      <c r="K219" s="5" t="s">
        <v>1098</v>
      </c>
      <c r="L219" s="5" t="s">
        <v>540</v>
      </c>
    </row>
    <row r="220">
      <c r="A220" s="1" t="s">
        <v>1099</v>
      </c>
      <c r="B220" s="5" t="s">
        <v>1100</v>
      </c>
      <c r="C220" s="5" t="s">
        <v>76</v>
      </c>
      <c r="D220" s="5" t="s">
        <v>741</v>
      </c>
      <c r="E220" s="35">
        <v>36693.0</v>
      </c>
      <c r="F220" s="5">
        <v>6.283875560141E12</v>
      </c>
      <c r="G220" s="1" t="s">
        <v>1101</v>
      </c>
      <c r="H220" s="5" t="s">
        <v>293</v>
      </c>
      <c r="I220" s="5" t="s">
        <v>57</v>
      </c>
      <c r="J220" s="5" t="s">
        <v>576</v>
      </c>
    </row>
    <row r="221">
      <c r="A221" s="1" t="s">
        <v>1102</v>
      </c>
      <c r="B221" s="5" t="s">
        <v>1103</v>
      </c>
      <c r="C221" s="5" t="s">
        <v>76</v>
      </c>
      <c r="D221" s="5" t="s">
        <v>271</v>
      </c>
      <c r="E221" s="36">
        <v>36884.0</v>
      </c>
      <c r="F221" s="5">
        <v>6.281222714503E12</v>
      </c>
      <c r="G221" s="1" t="s">
        <v>1104</v>
      </c>
      <c r="H221" s="5" t="s">
        <v>293</v>
      </c>
      <c r="I221" s="5" t="s">
        <v>57</v>
      </c>
      <c r="J221" s="5" t="s">
        <v>576</v>
      </c>
      <c r="K221" s="5" t="s">
        <v>672</v>
      </c>
      <c r="L221" s="5" t="s">
        <v>1105</v>
      </c>
    </row>
    <row r="222">
      <c r="A222" s="1" t="s">
        <v>1106</v>
      </c>
      <c r="B222" s="5" t="s">
        <v>1107</v>
      </c>
      <c r="C222" s="5" t="s">
        <v>76</v>
      </c>
      <c r="D222" s="5" t="s">
        <v>537</v>
      </c>
      <c r="E222" s="35">
        <v>34652.0</v>
      </c>
      <c r="F222" s="5">
        <v>6.285283333494E12</v>
      </c>
      <c r="G222" s="1" t="s">
        <v>1108</v>
      </c>
      <c r="H222" s="5" t="s">
        <v>661</v>
      </c>
      <c r="I222" s="5" t="s">
        <v>57</v>
      </c>
      <c r="J222" s="5" t="s">
        <v>702</v>
      </c>
    </row>
    <row r="223">
      <c r="A223" s="1" t="s">
        <v>1109</v>
      </c>
      <c r="B223" s="5" t="s">
        <v>1110</v>
      </c>
      <c r="C223" s="5" t="s">
        <v>76</v>
      </c>
      <c r="D223" s="5" t="s">
        <v>1111</v>
      </c>
      <c r="E223" s="36">
        <v>36756.0</v>
      </c>
      <c r="F223" s="5">
        <v>6.289618025624E12</v>
      </c>
      <c r="G223" s="1" t="s">
        <v>1112</v>
      </c>
      <c r="H223" s="5" t="s">
        <v>236</v>
      </c>
      <c r="I223" s="5" t="s">
        <v>57</v>
      </c>
      <c r="J223" s="5" t="s">
        <v>608</v>
      </c>
      <c r="K223" s="5" t="s">
        <v>529</v>
      </c>
      <c r="L223" s="5" t="s">
        <v>530</v>
      </c>
    </row>
    <row r="224">
      <c r="A224" s="1" t="s">
        <v>1113</v>
      </c>
      <c r="B224" s="5" t="s">
        <v>1114</v>
      </c>
      <c r="C224" s="5" t="s">
        <v>76</v>
      </c>
      <c r="D224" s="5" t="s">
        <v>1115</v>
      </c>
      <c r="E224" s="36">
        <v>36781.0</v>
      </c>
      <c r="F224" s="5">
        <v>6.281360603892E12</v>
      </c>
      <c r="G224" s="1" t="s">
        <v>1116</v>
      </c>
      <c r="H224" s="5" t="s">
        <v>293</v>
      </c>
      <c r="I224" s="5" t="s">
        <v>57</v>
      </c>
      <c r="J224" s="5" t="s">
        <v>825</v>
      </c>
      <c r="K224" s="5" t="s">
        <v>1117</v>
      </c>
      <c r="L224" s="5" t="s">
        <v>1118</v>
      </c>
    </row>
    <row r="225">
      <c r="A225" s="1" t="s">
        <v>1119</v>
      </c>
      <c r="B225" s="5" t="s">
        <v>1120</v>
      </c>
      <c r="C225" s="5" t="s">
        <v>53</v>
      </c>
      <c r="D225" s="5" t="s">
        <v>908</v>
      </c>
      <c r="E225" s="36">
        <v>37441.0</v>
      </c>
      <c r="F225" s="5">
        <v>6.289523927164E12</v>
      </c>
      <c r="G225" s="1" t="s">
        <v>1121</v>
      </c>
      <c r="H225" s="5" t="s">
        <v>474</v>
      </c>
      <c r="I225" s="5" t="s">
        <v>57</v>
      </c>
      <c r="J225" s="5" t="s">
        <v>854</v>
      </c>
      <c r="K225" s="5" t="s">
        <v>529</v>
      </c>
      <c r="L225" s="5" t="s">
        <v>817</v>
      </c>
    </row>
    <row r="226">
      <c r="A226" s="1" t="s">
        <v>1122</v>
      </c>
      <c r="B226" s="5" t="s">
        <v>1123</v>
      </c>
      <c r="C226" s="5" t="s">
        <v>76</v>
      </c>
      <c r="D226" s="5" t="s">
        <v>537</v>
      </c>
      <c r="E226" s="35">
        <v>37527.0</v>
      </c>
      <c r="F226" s="5">
        <v>6.282119892628E12</v>
      </c>
      <c r="G226" s="1" t="s">
        <v>1124</v>
      </c>
      <c r="H226" s="5" t="s">
        <v>474</v>
      </c>
      <c r="I226" s="5" t="s">
        <v>57</v>
      </c>
      <c r="J226" s="5" t="s">
        <v>590</v>
      </c>
    </row>
    <row r="227">
      <c r="A227" s="1" t="s">
        <v>1125</v>
      </c>
      <c r="B227" s="5" t="s">
        <v>1126</v>
      </c>
      <c r="C227" s="5" t="s">
        <v>53</v>
      </c>
      <c r="D227" s="5" t="s">
        <v>373</v>
      </c>
      <c r="E227" s="36">
        <v>36365.0</v>
      </c>
      <c r="F227" s="5">
        <v>6.287779844528E12</v>
      </c>
      <c r="G227" s="1" t="s">
        <v>1127</v>
      </c>
      <c r="H227" s="5" t="s">
        <v>516</v>
      </c>
      <c r="I227" s="5" t="s">
        <v>57</v>
      </c>
      <c r="J227" s="5" t="s">
        <v>506</v>
      </c>
      <c r="K227" s="5" t="s">
        <v>529</v>
      </c>
      <c r="L227" s="5" t="s">
        <v>817</v>
      </c>
    </row>
    <row r="228">
      <c r="A228" s="1" t="s">
        <v>1128</v>
      </c>
      <c r="B228" s="5" t="s">
        <v>1129</v>
      </c>
      <c r="C228" s="5" t="s">
        <v>53</v>
      </c>
      <c r="D228" s="5" t="s">
        <v>1007</v>
      </c>
      <c r="E228" s="36">
        <v>37367.0</v>
      </c>
      <c r="F228" s="5">
        <v>6.281321262375E12</v>
      </c>
      <c r="G228" s="1" t="s">
        <v>1130</v>
      </c>
      <c r="H228" s="5" t="s">
        <v>474</v>
      </c>
      <c r="I228" s="5" t="s">
        <v>57</v>
      </c>
      <c r="J228" s="5" t="s">
        <v>772</v>
      </c>
      <c r="K228" s="5" t="s">
        <v>940</v>
      </c>
      <c r="L228" s="5" t="s">
        <v>746</v>
      </c>
    </row>
    <row r="229">
      <c r="A229" s="1" t="s">
        <v>1131</v>
      </c>
      <c r="B229" s="5" t="s">
        <v>1132</v>
      </c>
      <c r="C229" s="5" t="s">
        <v>53</v>
      </c>
      <c r="D229" s="5" t="s">
        <v>770</v>
      </c>
      <c r="E229" s="36">
        <v>36790.0</v>
      </c>
      <c r="F229" s="5">
        <v>6.281238388532E12</v>
      </c>
      <c r="G229" s="1" t="s">
        <v>1133</v>
      </c>
      <c r="H229" s="5" t="s">
        <v>236</v>
      </c>
      <c r="I229" s="5" t="s">
        <v>57</v>
      </c>
      <c r="J229" s="5" t="s">
        <v>825</v>
      </c>
      <c r="K229" s="5" t="s">
        <v>529</v>
      </c>
      <c r="L229" s="5" t="s">
        <v>592</v>
      </c>
    </row>
    <row r="230">
      <c r="A230" s="1" t="s">
        <v>1134</v>
      </c>
      <c r="B230" s="5" t="s">
        <v>1135</v>
      </c>
      <c r="C230" s="5" t="s">
        <v>53</v>
      </c>
      <c r="D230" s="5" t="s">
        <v>618</v>
      </c>
      <c r="E230" s="36">
        <v>37322.0</v>
      </c>
      <c r="F230" s="5">
        <v>6.281542449913E12</v>
      </c>
      <c r="G230" s="1" t="s">
        <v>1136</v>
      </c>
      <c r="H230" s="5" t="s">
        <v>474</v>
      </c>
      <c r="I230" s="5" t="s">
        <v>57</v>
      </c>
      <c r="J230" s="5" t="s">
        <v>1137</v>
      </c>
      <c r="K230" s="5" t="s">
        <v>1138</v>
      </c>
      <c r="L230" s="5" t="s">
        <v>592</v>
      </c>
    </row>
    <row r="231">
      <c r="A231" s="1" t="s">
        <v>1139</v>
      </c>
      <c r="B231" s="5" t="s">
        <v>1140</v>
      </c>
      <c r="C231" s="5" t="s">
        <v>53</v>
      </c>
      <c r="D231" s="5" t="s">
        <v>373</v>
      </c>
      <c r="E231" s="36">
        <v>37448.0</v>
      </c>
      <c r="F231" s="5">
        <v>6.28223928524E12</v>
      </c>
      <c r="G231" s="1" t="s">
        <v>1141</v>
      </c>
      <c r="H231" s="5" t="s">
        <v>293</v>
      </c>
      <c r="I231" s="5" t="s">
        <v>57</v>
      </c>
      <c r="J231" s="5" t="s">
        <v>1142</v>
      </c>
      <c r="K231" s="5" t="s">
        <v>1143</v>
      </c>
      <c r="L231" s="5" t="s">
        <v>592</v>
      </c>
    </row>
    <row r="232">
      <c r="A232" s="1" t="s">
        <v>1144</v>
      </c>
      <c r="B232" s="5" t="s">
        <v>1145</v>
      </c>
      <c r="C232" s="5" t="s">
        <v>76</v>
      </c>
      <c r="D232" s="5" t="s">
        <v>537</v>
      </c>
      <c r="E232" s="36">
        <v>35605.0</v>
      </c>
      <c r="F232" s="5">
        <v>6.2856009091E12</v>
      </c>
      <c r="G232" s="1" t="s">
        <v>1146</v>
      </c>
      <c r="H232" s="5" t="s">
        <v>308</v>
      </c>
      <c r="I232" s="5" t="s">
        <v>57</v>
      </c>
      <c r="J232" s="5" t="s">
        <v>813</v>
      </c>
      <c r="K232" s="5" t="s">
        <v>523</v>
      </c>
      <c r="L232" s="5" t="s">
        <v>1147</v>
      </c>
    </row>
    <row r="233">
      <c r="A233" s="1" t="s">
        <v>1148</v>
      </c>
      <c r="B233" s="5" t="s">
        <v>1149</v>
      </c>
      <c r="C233" s="5" t="s">
        <v>53</v>
      </c>
      <c r="D233" s="5" t="s">
        <v>373</v>
      </c>
      <c r="E233" s="36">
        <v>37533.0</v>
      </c>
      <c r="F233" s="5">
        <v>6.282181474197E12</v>
      </c>
      <c r="G233" s="1" t="s">
        <v>1150</v>
      </c>
      <c r="H233" s="5" t="s">
        <v>474</v>
      </c>
      <c r="I233" s="5" t="s">
        <v>57</v>
      </c>
      <c r="J233" s="5" t="s">
        <v>517</v>
      </c>
      <c r="K233" s="5" t="s">
        <v>529</v>
      </c>
      <c r="L233" s="5" t="s">
        <v>1151</v>
      </c>
    </row>
    <row r="234">
      <c r="A234" s="1" t="s">
        <v>1152</v>
      </c>
      <c r="B234" s="5" t="s">
        <v>1153</v>
      </c>
      <c r="C234" s="5" t="s">
        <v>76</v>
      </c>
      <c r="D234" s="5" t="s">
        <v>387</v>
      </c>
      <c r="E234" s="35">
        <v>37189.0</v>
      </c>
      <c r="F234" s="5">
        <v>6.281515292262E12</v>
      </c>
      <c r="G234" s="1" t="s">
        <v>1154</v>
      </c>
      <c r="H234" s="5" t="s">
        <v>293</v>
      </c>
      <c r="I234" s="5" t="s">
        <v>562</v>
      </c>
      <c r="J234" s="5" t="s">
        <v>563</v>
      </c>
    </row>
    <row r="235">
      <c r="A235" s="1" t="s">
        <v>1155</v>
      </c>
      <c r="B235" s="5" t="s">
        <v>1156</v>
      </c>
      <c r="C235" s="5" t="s">
        <v>76</v>
      </c>
      <c r="D235" s="5" t="s">
        <v>537</v>
      </c>
      <c r="E235" s="35">
        <v>36548.0</v>
      </c>
      <c r="F235" s="5">
        <v>6.282127866792E12</v>
      </c>
      <c r="G235" s="1" t="s">
        <v>1157</v>
      </c>
      <c r="H235" s="5" t="s">
        <v>293</v>
      </c>
      <c r="I235" s="5" t="s">
        <v>57</v>
      </c>
      <c r="J235" s="5" t="s">
        <v>267</v>
      </c>
    </row>
    <row r="236">
      <c r="A236" s="1" t="s">
        <v>1158</v>
      </c>
      <c r="B236" s="5" t="s">
        <v>1159</v>
      </c>
      <c r="C236" s="5" t="s">
        <v>53</v>
      </c>
      <c r="D236" s="5" t="s">
        <v>633</v>
      </c>
      <c r="E236" s="35">
        <v>36952.0</v>
      </c>
      <c r="F236" s="5">
        <v>6.289603972445E12</v>
      </c>
      <c r="G236" s="1" t="s">
        <v>1160</v>
      </c>
      <c r="H236" s="5" t="s">
        <v>293</v>
      </c>
      <c r="I236" s="5" t="s">
        <v>57</v>
      </c>
      <c r="J236" s="5" t="s">
        <v>613</v>
      </c>
    </row>
    <row r="237">
      <c r="A237" s="1" t="s">
        <v>1161</v>
      </c>
      <c r="B237" s="5" t="s">
        <v>1162</v>
      </c>
      <c r="C237" s="5" t="s">
        <v>76</v>
      </c>
      <c r="D237" s="5" t="s">
        <v>1163</v>
      </c>
      <c r="E237" s="36">
        <v>36450.0</v>
      </c>
      <c r="F237" s="5">
        <v>6.289694878604E12</v>
      </c>
      <c r="G237" s="1" t="s">
        <v>1164</v>
      </c>
      <c r="H237" s="5" t="s">
        <v>236</v>
      </c>
      <c r="I237" s="5" t="s">
        <v>57</v>
      </c>
      <c r="J237" s="5" t="s">
        <v>581</v>
      </c>
      <c r="K237" s="5" t="s">
        <v>1165</v>
      </c>
      <c r="L237" s="5" t="s">
        <v>1166</v>
      </c>
    </row>
    <row r="238">
      <c r="A238" s="1" t="s">
        <v>1167</v>
      </c>
      <c r="B238" s="5" t="s">
        <v>1168</v>
      </c>
      <c r="C238" s="5" t="s">
        <v>53</v>
      </c>
      <c r="D238" s="5" t="s">
        <v>741</v>
      </c>
      <c r="E238" s="36">
        <v>36906.0</v>
      </c>
      <c r="F238" s="5">
        <v>6.282187222609E12</v>
      </c>
      <c r="G238" s="1" t="s">
        <v>1169</v>
      </c>
      <c r="H238" s="5" t="s">
        <v>293</v>
      </c>
      <c r="I238" s="5" t="s">
        <v>57</v>
      </c>
      <c r="J238" s="5" t="s">
        <v>996</v>
      </c>
      <c r="K238" s="5" t="s">
        <v>529</v>
      </c>
      <c r="L238" s="5" t="s">
        <v>677</v>
      </c>
    </row>
    <row r="239">
      <c r="A239" s="1" t="s">
        <v>1170</v>
      </c>
      <c r="B239" s="5" t="s">
        <v>1171</v>
      </c>
      <c r="C239" s="5" t="s">
        <v>76</v>
      </c>
      <c r="D239" s="5" t="s">
        <v>770</v>
      </c>
      <c r="E239" s="36">
        <v>37018.0</v>
      </c>
      <c r="F239" s="5">
        <v>6.281238170899E12</v>
      </c>
      <c r="G239" s="1" t="s">
        <v>1172</v>
      </c>
      <c r="H239" s="5" t="s">
        <v>293</v>
      </c>
      <c r="I239" s="5" t="s">
        <v>57</v>
      </c>
      <c r="J239" s="5" t="s">
        <v>506</v>
      </c>
      <c r="K239" s="5" t="s">
        <v>539</v>
      </c>
      <c r="L239" s="5" t="s">
        <v>799</v>
      </c>
    </row>
    <row r="240">
      <c r="A240" s="1" t="s">
        <v>1173</v>
      </c>
      <c r="B240" s="5" t="s">
        <v>1174</v>
      </c>
      <c r="C240" s="5" t="s">
        <v>53</v>
      </c>
      <c r="D240" s="5" t="s">
        <v>497</v>
      </c>
      <c r="E240" s="35">
        <v>34297.0</v>
      </c>
      <c r="F240" s="5">
        <v>6.287733010777E12</v>
      </c>
      <c r="G240" s="1" t="s">
        <v>1175</v>
      </c>
      <c r="H240" s="5" t="s">
        <v>939</v>
      </c>
      <c r="I240" s="5" t="s">
        <v>57</v>
      </c>
      <c r="J240" s="5" t="s">
        <v>511</v>
      </c>
    </row>
    <row r="241">
      <c r="A241" s="1" t="s">
        <v>1176</v>
      </c>
      <c r="B241" s="5" t="s">
        <v>1177</v>
      </c>
      <c r="C241" s="5" t="s">
        <v>76</v>
      </c>
      <c r="D241" s="5" t="s">
        <v>537</v>
      </c>
      <c r="E241" s="36">
        <v>36893.0</v>
      </c>
      <c r="F241" s="5">
        <v>6.282298200206E12</v>
      </c>
      <c r="G241" s="1" t="s">
        <v>1178</v>
      </c>
      <c r="H241" s="5" t="s">
        <v>293</v>
      </c>
      <c r="I241" s="5" t="s">
        <v>57</v>
      </c>
      <c r="J241" s="5" t="s">
        <v>1179</v>
      </c>
      <c r="K241" s="5" t="s">
        <v>523</v>
      </c>
      <c r="L241" s="5" t="s">
        <v>524</v>
      </c>
    </row>
    <row r="242">
      <c r="A242" s="1" t="s">
        <v>1180</v>
      </c>
      <c r="B242" s="5" t="s">
        <v>1181</v>
      </c>
      <c r="C242" s="5" t="s">
        <v>76</v>
      </c>
      <c r="D242" s="5" t="s">
        <v>537</v>
      </c>
      <c r="E242" s="35">
        <v>34532.0</v>
      </c>
      <c r="F242" s="5">
        <v>6.2812894907E12</v>
      </c>
      <c r="G242" s="1" t="s">
        <v>1182</v>
      </c>
      <c r="H242" s="5" t="s">
        <v>649</v>
      </c>
      <c r="I242" s="5" t="s">
        <v>57</v>
      </c>
      <c r="J242" s="5" t="s">
        <v>248</v>
      </c>
    </row>
    <row r="243">
      <c r="A243" s="1" t="s">
        <v>1183</v>
      </c>
      <c r="B243" s="5" t="s">
        <v>1184</v>
      </c>
      <c r="C243" s="5" t="s">
        <v>76</v>
      </c>
      <c r="D243" s="5" t="s">
        <v>537</v>
      </c>
      <c r="E243" s="35">
        <v>34320.0</v>
      </c>
      <c r="F243" s="5">
        <v>6.281221514757E12</v>
      </c>
      <c r="G243" s="1" t="s">
        <v>1185</v>
      </c>
      <c r="H243" s="5" t="s">
        <v>939</v>
      </c>
      <c r="I243" s="5" t="s">
        <v>57</v>
      </c>
      <c r="J243" s="5" t="s">
        <v>707</v>
      </c>
    </row>
    <row r="244">
      <c r="A244" s="1" t="s">
        <v>1186</v>
      </c>
      <c r="B244" s="5" t="s">
        <v>1187</v>
      </c>
      <c r="C244" s="5" t="s">
        <v>53</v>
      </c>
      <c r="D244" s="5" t="s">
        <v>845</v>
      </c>
      <c r="E244" s="36">
        <v>33587.0</v>
      </c>
      <c r="F244" s="5">
        <v>6.28985408665E11</v>
      </c>
      <c r="G244" s="1" t="s">
        <v>1188</v>
      </c>
      <c r="H244" s="5" t="s">
        <v>575</v>
      </c>
      <c r="I244" s="5" t="s">
        <v>57</v>
      </c>
      <c r="J244" s="5" t="s">
        <v>783</v>
      </c>
      <c r="K244" s="5" t="s">
        <v>672</v>
      </c>
      <c r="L244" s="5" t="s">
        <v>1105</v>
      </c>
    </row>
    <row r="245">
      <c r="A245" s="1" t="s">
        <v>1189</v>
      </c>
      <c r="B245" s="5" t="s">
        <v>1190</v>
      </c>
      <c r="C245" s="5" t="s">
        <v>53</v>
      </c>
      <c r="D245" s="5" t="s">
        <v>770</v>
      </c>
      <c r="E245" s="36">
        <v>33363.0</v>
      </c>
      <c r="F245" s="5">
        <v>6.28122867105E11</v>
      </c>
      <c r="G245" s="1" t="s">
        <v>1191</v>
      </c>
      <c r="H245" s="5" t="s">
        <v>499</v>
      </c>
      <c r="I245" s="5" t="s">
        <v>57</v>
      </c>
      <c r="J245" s="5" t="s">
        <v>517</v>
      </c>
      <c r="K245" s="5" t="s">
        <v>529</v>
      </c>
      <c r="L245" s="5" t="s">
        <v>1192</v>
      </c>
    </row>
    <row r="246">
      <c r="A246" s="1" t="s">
        <v>1193</v>
      </c>
      <c r="B246" s="5" t="s">
        <v>1194</v>
      </c>
      <c r="C246" s="5" t="s">
        <v>53</v>
      </c>
      <c r="D246" s="5" t="s">
        <v>373</v>
      </c>
      <c r="E246" s="36">
        <v>36876.0</v>
      </c>
      <c r="F246" s="5">
        <v>6.287769593594E12</v>
      </c>
      <c r="G246" s="1" t="s">
        <v>1195</v>
      </c>
      <c r="H246" s="5" t="s">
        <v>293</v>
      </c>
      <c r="I246" s="5" t="s">
        <v>57</v>
      </c>
      <c r="J246" s="5" t="s">
        <v>923</v>
      </c>
      <c r="K246" s="5" t="s">
        <v>1196</v>
      </c>
      <c r="L246" s="5" t="s">
        <v>1197</v>
      </c>
    </row>
    <row r="247">
      <c r="A247" s="1" t="s">
        <v>1198</v>
      </c>
      <c r="B247" s="5" t="s">
        <v>1199</v>
      </c>
      <c r="C247" s="5" t="s">
        <v>53</v>
      </c>
      <c r="D247" s="5" t="s">
        <v>1200</v>
      </c>
      <c r="E247" s="35">
        <v>33578.0</v>
      </c>
      <c r="F247" s="5">
        <v>6.285265993488E12</v>
      </c>
      <c r="G247" s="1" t="s">
        <v>1201</v>
      </c>
      <c r="H247" s="5" t="s">
        <v>575</v>
      </c>
      <c r="I247" s="5" t="s">
        <v>57</v>
      </c>
      <c r="J247" s="5" t="s">
        <v>625</v>
      </c>
    </row>
    <row r="248">
      <c r="A248" s="1" t="s">
        <v>1202</v>
      </c>
      <c r="B248" s="5" t="s">
        <v>1203</v>
      </c>
      <c r="C248" s="5" t="s">
        <v>76</v>
      </c>
      <c r="D248" s="5" t="s">
        <v>968</v>
      </c>
      <c r="E248" s="35">
        <v>36084.0</v>
      </c>
      <c r="F248" s="5">
        <v>6.287881130185E12</v>
      </c>
      <c r="G248" s="1" t="s">
        <v>1204</v>
      </c>
      <c r="H248" s="5" t="s">
        <v>438</v>
      </c>
      <c r="I248" s="5" t="s">
        <v>57</v>
      </c>
      <c r="J248" s="5" t="s">
        <v>1205</v>
      </c>
    </row>
    <row r="249">
      <c r="A249" s="1" t="s">
        <v>1206</v>
      </c>
      <c r="B249" s="5" t="s">
        <v>1207</v>
      </c>
      <c r="C249" s="5" t="s">
        <v>76</v>
      </c>
      <c r="D249" s="5" t="s">
        <v>968</v>
      </c>
      <c r="E249" s="36">
        <v>30449.0</v>
      </c>
      <c r="F249" s="5">
        <v>6.281330638756E12</v>
      </c>
      <c r="G249" s="1" t="s">
        <v>1208</v>
      </c>
      <c r="H249" s="5" t="s">
        <v>1209</v>
      </c>
      <c r="I249" s="5" t="s">
        <v>57</v>
      </c>
      <c r="J249" s="5" t="s">
        <v>506</v>
      </c>
      <c r="K249" s="5" t="s">
        <v>523</v>
      </c>
      <c r="L249" s="5" t="s">
        <v>1210</v>
      </c>
    </row>
    <row r="250">
      <c r="A250" s="1" t="s">
        <v>1211</v>
      </c>
      <c r="B250" s="5" t="s">
        <v>1212</v>
      </c>
      <c r="C250" s="5" t="s">
        <v>53</v>
      </c>
      <c r="D250" s="5" t="s">
        <v>537</v>
      </c>
      <c r="E250" s="35">
        <v>36633.0</v>
      </c>
      <c r="F250" s="5">
        <v>6.281340306535E12</v>
      </c>
      <c r="G250" s="1" t="s">
        <v>1213</v>
      </c>
      <c r="H250" s="5" t="s">
        <v>293</v>
      </c>
      <c r="I250" s="5" t="s">
        <v>57</v>
      </c>
      <c r="J250" s="5" t="s">
        <v>854</v>
      </c>
    </row>
    <row r="251">
      <c r="A251" s="1" t="s">
        <v>1214</v>
      </c>
      <c r="B251" s="5" t="s">
        <v>1215</v>
      </c>
      <c r="C251" s="5" t="s">
        <v>76</v>
      </c>
      <c r="D251" s="5" t="s">
        <v>537</v>
      </c>
      <c r="E251" s="35">
        <v>35914.0</v>
      </c>
      <c r="F251" s="5">
        <v>6.289503348566E12</v>
      </c>
      <c r="G251" s="1" t="s">
        <v>1216</v>
      </c>
      <c r="H251" s="5" t="s">
        <v>438</v>
      </c>
      <c r="I251" s="5" t="s">
        <v>57</v>
      </c>
      <c r="J251" s="5" t="s">
        <v>1217</v>
      </c>
    </row>
    <row r="252">
      <c r="A252" s="1" t="s">
        <v>1218</v>
      </c>
      <c r="B252" s="5" t="s">
        <v>1219</v>
      </c>
      <c r="C252" s="5" t="s">
        <v>76</v>
      </c>
      <c r="D252" s="5" t="s">
        <v>537</v>
      </c>
      <c r="E252" s="36">
        <v>37711.0</v>
      </c>
      <c r="F252" s="5">
        <v>6.287877478145E12</v>
      </c>
      <c r="G252" s="1" t="s">
        <v>1220</v>
      </c>
      <c r="H252" s="5" t="s">
        <v>474</v>
      </c>
      <c r="I252" s="5" t="s">
        <v>57</v>
      </c>
      <c r="J252" s="5" t="s">
        <v>984</v>
      </c>
      <c r="K252" s="5" t="s">
        <v>539</v>
      </c>
      <c r="L252" s="5" t="s">
        <v>799</v>
      </c>
    </row>
    <row r="253">
      <c r="A253" s="1" t="s">
        <v>1221</v>
      </c>
      <c r="B253" s="5" t="s">
        <v>1222</v>
      </c>
      <c r="C253" s="5" t="s">
        <v>76</v>
      </c>
      <c r="D253" s="5" t="s">
        <v>271</v>
      </c>
      <c r="E253" s="35">
        <v>36143.0</v>
      </c>
      <c r="F253" s="5">
        <v>6.2895294199E11</v>
      </c>
      <c r="G253" s="1" t="s">
        <v>1223</v>
      </c>
      <c r="H253" s="5" t="s">
        <v>438</v>
      </c>
      <c r="I253" s="5" t="s">
        <v>57</v>
      </c>
      <c r="J253" s="5" t="s">
        <v>267</v>
      </c>
    </row>
    <row r="254">
      <c r="A254" s="1" t="s">
        <v>1224</v>
      </c>
      <c r="B254" s="5" t="s">
        <v>1225</v>
      </c>
      <c r="C254" s="5" t="s">
        <v>76</v>
      </c>
      <c r="D254" s="5" t="s">
        <v>908</v>
      </c>
      <c r="E254" s="35">
        <v>34497.0</v>
      </c>
      <c r="F254" s="5">
        <v>6.28974406785E11</v>
      </c>
      <c r="G254" s="1" t="s">
        <v>1226</v>
      </c>
      <c r="H254" s="5" t="s">
        <v>661</v>
      </c>
      <c r="I254" s="5" t="s">
        <v>57</v>
      </c>
      <c r="J254" s="5" t="s">
        <v>854</v>
      </c>
    </row>
    <row r="255">
      <c r="A255" s="1" t="s">
        <v>1227</v>
      </c>
      <c r="B255" s="5" t="s">
        <v>1228</v>
      </c>
      <c r="C255" s="5" t="s">
        <v>53</v>
      </c>
      <c r="D255" s="5" t="s">
        <v>497</v>
      </c>
      <c r="E255" s="36">
        <v>37506.0</v>
      </c>
      <c r="F255" s="5">
        <v>6.281387780452E12</v>
      </c>
      <c r="G255" s="1" t="s">
        <v>1229</v>
      </c>
      <c r="H255" s="5" t="s">
        <v>474</v>
      </c>
      <c r="I255" s="5" t="s">
        <v>57</v>
      </c>
      <c r="J255" s="5" t="s">
        <v>517</v>
      </c>
      <c r="K255" s="5" t="s">
        <v>529</v>
      </c>
      <c r="L255" s="5" t="s">
        <v>564</v>
      </c>
    </row>
    <row r="256">
      <c r="A256" s="1" t="s">
        <v>1230</v>
      </c>
      <c r="B256" s="5" t="s">
        <v>1231</v>
      </c>
      <c r="C256" s="5" t="s">
        <v>76</v>
      </c>
      <c r="D256" s="5" t="s">
        <v>1232</v>
      </c>
      <c r="E256" s="36">
        <v>36167.0</v>
      </c>
      <c r="F256" s="5">
        <v>6.2813109111734E13</v>
      </c>
      <c r="G256" s="1" t="s">
        <v>1233</v>
      </c>
      <c r="H256" s="5" t="s">
        <v>516</v>
      </c>
      <c r="I256" s="5" t="s">
        <v>57</v>
      </c>
      <c r="J256" s="5" t="s">
        <v>772</v>
      </c>
      <c r="K256" s="5" t="s">
        <v>1234</v>
      </c>
      <c r="L256" s="5" t="s">
        <v>1235</v>
      </c>
    </row>
    <row r="257">
      <c r="A257" s="1" t="s">
        <v>1236</v>
      </c>
      <c r="B257" s="5" t="s">
        <v>1237</v>
      </c>
      <c r="C257" s="5" t="s">
        <v>76</v>
      </c>
      <c r="D257" s="5" t="s">
        <v>1238</v>
      </c>
      <c r="E257" s="35">
        <v>33170.0</v>
      </c>
      <c r="F257" s="5">
        <v>6.285216439766E12</v>
      </c>
      <c r="G257" s="1" t="s">
        <v>1239</v>
      </c>
      <c r="H257" s="5" t="s">
        <v>1032</v>
      </c>
      <c r="I257" s="5" t="s">
        <v>57</v>
      </c>
      <c r="J257" s="5" t="s">
        <v>576</v>
      </c>
    </row>
    <row r="258">
      <c r="A258" s="1" t="s">
        <v>1240</v>
      </c>
      <c r="B258" s="5" t="s">
        <v>1241</v>
      </c>
      <c r="C258" s="5" t="s">
        <v>76</v>
      </c>
      <c r="D258" s="5" t="s">
        <v>1242</v>
      </c>
      <c r="E258" s="35">
        <v>37037.0</v>
      </c>
      <c r="F258" s="5">
        <v>6.2818840487E10</v>
      </c>
      <c r="G258" s="1" t="s">
        <v>1243</v>
      </c>
      <c r="H258" s="5" t="s">
        <v>293</v>
      </c>
      <c r="I258" s="5" t="s">
        <v>57</v>
      </c>
      <c r="J258" s="5" t="s">
        <v>858</v>
      </c>
    </row>
    <row r="259">
      <c r="A259" s="1" t="s">
        <v>1244</v>
      </c>
      <c r="B259" s="5" t="s">
        <v>1245</v>
      </c>
      <c r="C259" s="5" t="s">
        <v>76</v>
      </c>
      <c r="D259" s="5" t="s">
        <v>1246</v>
      </c>
      <c r="E259" s="35">
        <v>33432.0</v>
      </c>
      <c r="F259" s="5">
        <v>6.28568100372E11</v>
      </c>
      <c r="G259" s="1" t="s">
        <v>1247</v>
      </c>
      <c r="H259" s="5" t="s">
        <v>499</v>
      </c>
      <c r="I259" s="5" t="s">
        <v>57</v>
      </c>
      <c r="J259" s="5" t="s">
        <v>506</v>
      </c>
    </row>
    <row r="260">
      <c r="A260" s="1" t="s">
        <v>1248</v>
      </c>
      <c r="B260" s="5" t="s">
        <v>1249</v>
      </c>
      <c r="C260" s="5" t="s">
        <v>53</v>
      </c>
      <c r="D260" s="5" t="s">
        <v>537</v>
      </c>
      <c r="E260" s="35">
        <v>34745.0</v>
      </c>
      <c r="F260" s="5">
        <v>6.28780561373E12</v>
      </c>
      <c r="G260" s="1" t="s">
        <v>1250</v>
      </c>
      <c r="H260" s="5" t="s">
        <v>661</v>
      </c>
      <c r="I260" s="5" t="s">
        <v>57</v>
      </c>
      <c r="J260" s="5" t="s">
        <v>248</v>
      </c>
    </row>
    <row r="261">
      <c r="A261" s="1" t="s">
        <v>1251</v>
      </c>
      <c r="B261" s="5" t="s">
        <v>1252</v>
      </c>
      <c r="C261" s="5" t="s">
        <v>76</v>
      </c>
      <c r="D261" s="5" t="s">
        <v>1253</v>
      </c>
      <c r="E261" s="36">
        <v>36996.0</v>
      </c>
      <c r="F261" s="5">
        <v>6.285785004351E12</v>
      </c>
      <c r="G261" s="1" t="s">
        <v>1254</v>
      </c>
      <c r="H261" s="5" t="s">
        <v>293</v>
      </c>
      <c r="I261" s="5" t="s">
        <v>562</v>
      </c>
      <c r="J261" s="5" t="s">
        <v>1060</v>
      </c>
      <c r="K261" s="5" t="s">
        <v>1255</v>
      </c>
      <c r="L261" s="5" t="s">
        <v>1256</v>
      </c>
    </row>
    <row r="262">
      <c r="A262" s="1" t="s">
        <v>1257</v>
      </c>
      <c r="B262" s="5" t="s">
        <v>1258</v>
      </c>
      <c r="C262" s="5" t="s">
        <v>53</v>
      </c>
      <c r="D262" s="5" t="s">
        <v>618</v>
      </c>
      <c r="E262" s="36">
        <v>37766.0</v>
      </c>
      <c r="F262" s="5">
        <v>6.281241648564E12</v>
      </c>
      <c r="G262" s="1" t="s">
        <v>1259</v>
      </c>
      <c r="H262" s="5" t="s">
        <v>474</v>
      </c>
      <c r="I262" s="5" t="s">
        <v>57</v>
      </c>
      <c r="J262" s="5" t="s">
        <v>517</v>
      </c>
      <c r="K262" s="5" t="s">
        <v>799</v>
      </c>
      <c r="L262" s="5" t="s">
        <v>799</v>
      </c>
    </row>
    <row r="263">
      <c r="A263" s="1" t="s">
        <v>1260</v>
      </c>
      <c r="B263" s="5" t="s">
        <v>1261</v>
      </c>
      <c r="C263" s="5" t="s">
        <v>76</v>
      </c>
      <c r="D263" s="5" t="s">
        <v>600</v>
      </c>
      <c r="E263" s="36">
        <v>37407.0</v>
      </c>
      <c r="F263" s="5">
        <v>6.287731050213E12</v>
      </c>
      <c r="G263" s="1" t="s">
        <v>1262</v>
      </c>
      <c r="H263" s="5" t="s">
        <v>474</v>
      </c>
      <c r="I263" s="5" t="s">
        <v>57</v>
      </c>
      <c r="J263" s="5" t="s">
        <v>625</v>
      </c>
      <c r="K263" s="5" t="s">
        <v>529</v>
      </c>
      <c r="L263" s="5" t="s">
        <v>1263</v>
      </c>
    </row>
    <row r="264">
      <c r="A264" s="1" t="s">
        <v>1264</v>
      </c>
      <c r="B264" s="5" t="s">
        <v>1265</v>
      </c>
      <c r="C264" s="5" t="s">
        <v>53</v>
      </c>
      <c r="D264" s="5" t="s">
        <v>1266</v>
      </c>
      <c r="E264" s="35">
        <v>33121.0</v>
      </c>
      <c r="F264" s="5">
        <v>6.289619439984E12</v>
      </c>
      <c r="G264" s="1" t="s">
        <v>1267</v>
      </c>
      <c r="H264" s="5" t="s">
        <v>1032</v>
      </c>
      <c r="I264" s="5" t="s">
        <v>57</v>
      </c>
      <c r="J264" s="5" t="s">
        <v>643</v>
      </c>
    </row>
    <row r="265">
      <c r="A265" s="1" t="s">
        <v>1268</v>
      </c>
      <c r="B265" s="5" t="s">
        <v>1269</v>
      </c>
      <c r="C265" s="5" t="s">
        <v>53</v>
      </c>
      <c r="D265" s="5" t="s">
        <v>1270</v>
      </c>
      <c r="E265" s="36">
        <v>36766.0</v>
      </c>
      <c r="F265" s="5">
        <v>6.285263900778E12</v>
      </c>
      <c r="G265" s="1" t="s">
        <v>1271</v>
      </c>
      <c r="H265" s="5" t="s">
        <v>293</v>
      </c>
      <c r="I265" s="5" t="s">
        <v>57</v>
      </c>
      <c r="J265" s="5" t="s">
        <v>309</v>
      </c>
      <c r="K265" s="5" t="s">
        <v>910</v>
      </c>
      <c r="L265" s="5" t="s">
        <v>910</v>
      </c>
    </row>
    <row r="266">
      <c r="A266" s="1" t="s">
        <v>1272</v>
      </c>
      <c r="B266" s="5" t="s">
        <v>1273</v>
      </c>
      <c r="C266" s="5" t="s">
        <v>76</v>
      </c>
      <c r="D266" s="5" t="s">
        <v>537</v>
      </c>
      <c r="E266" s="35">
        <v>36852.0</v>
      </c>
      <c r="F266" s="5">
        <v>6.285960885414E12</v>
      </c>
      <c r="G266" s="1" t="s">
        <v>1274</v>
      </c>
      <c r="H266" s="5" t="s">
        <v>236</v>
      </c>
      <c r="I266" s="5" t="s">
        <v>57</v>
      </c>
      <c r="J266" s="5" t="s">
        <v>996</v>
      </c>
    </row>
    <row r="267">
      <c r="A267" s="1" t="s">
        <v>1275</v>
      </c>
      <c r="B267" s="5" t="s">
        <v>1276</v>
      </c>
      <c r="C267" s="5" t="s">
        <v>53</v>
      </c>
      <c r="D267" s="5" t="s">
        <v>637</v>
      </c>
      <c r="E267" s="36">
        <v>35659.0</v>
      </c>
      <c r="F267" s="5">
        <v>6.2838555086E11</v>
      </c>
      <c r="G267" s="1" t="s">
        <v>1277</v>
      </c>
      <c r="H267" s="5" t="s">
        <v>438</v>
      </c>
      <c r="I267" s="5" t="s">
        <v>562</v>
      </c>
      <c r="J267" s="5" t="s">
        <v>506</v>
      </c>
      <c r="K267" s="5" t="s">
        <v>529</v>
      </c>
      <c r="L267" s="5" t="s">
        <v>1278</v>
      </c>
    </row>
    <row r="268">
      <c r="A268" s="1" t="s">
        <v>1279</v>
      </c>
      <c r="B268" s="5" t="s">
        <v>1280</v>
      </c>
      <c r="C268" s="5" t="s">
        <v>76</v>
      </c>
      <c r="D268" s="5" t="s">
        <v>537</v>
      </c>
      <c r="E268" s="36">
        <v>36335.0</v>
      </c>
      <c r="F268" s="5">
        <v>6.285156330204E12</v>
      </c>
      <c r="G268" s="1" t="s">
        <v>1281</v>
      </c>
      <c r="H268" s="5" t="s">
        <v>516</v>
      </c>
      <c r="I268" s="5" t="s">
        <v>57</v>
      </c>
      <c r="J268" s="5" t="s">
        <v>772</v>
      </c>
      <c r="K268" s="5" t="s">
        <v>529</v>
      </c>
      <c r="L268" s="5" t="s">
        <v>692</v>
      </c>
    </row>
    <row r="269">
      <c r="A269" s="1" t="s">
        <v>1282</v>
      </c>
      <c r="B269" s="5" t="s">
        <v>1283</v>
      </c>
      <c r="C269" s="5" t="s">
        <v>76</v>
      </c>
      <c r="D269" s="5" t="s">
        <v>1253</v>
      </c>
      <c r="E269" s="36">
        <v>37176.0</v>
      </c>
      <c r="F269" s="5">
        <v>6.285869846203E12</v>
      </c>
      <c r="G269" s="1" t="s">
        <v>1284</v>
      </c>
      <c r="H269" s="5" t="s">
        <v>474</v>
      </c>
      <c r="I269" s="5" t="s">
        <v>57</v>
      </c>
      <c r="J269" s="5" t="s">
        <v>838</v>
      </c>
      <c r="K269" s="5" t="s">
        <v>539</v>
      </c>
      <c r="L269" s="5" t="s">
        <v>799</v>
      </c>
    </row>
    <row r="270">
      <c r="A270" s="1" t="s">
        <v>1285</v>
      </c>
      <c r="B270" s="5" t="s">
        <v>1286</v>
      </c>
      <c r="C270" s="5" t="s">
        <v>76</v>
      </c>
      <c r="D270" s="5" t="s">
        <v>537</v>
      </c>
      <c r="E270" s="36">
        <v>37532.0</v>
      </c>
      <c r="F270" s="5">
        <v>6.285156058353E12</v>
      </c>
      <c r="G270" s="1" t="s">
        <v>1287</v>
      </c>
      <c r="H270" s="5" t="s">
        <v>474</v>
      </c>
      <c r="I270" s="5" t="s">
        <v>57</v>
      </c>
      <c r="J270" s="5" t="s">
        <v>858</v>
      </c>
      <c r="K270" s="5" t="s">
        <v>1288</v>
      </c>
      <c r="L270" s="5" t="s">
        <v>592</v>
      </c>
    </row>
    <row r="271">
      <c r="A271" s="1" t="s">
        <v>1289</v>
      </c>
      <c r="B271" s="5" t="s">
        <v>1290</v>
      </c>
      <c r="C271" s="5" t="s">
        <v>76</v>
      </c>
      <c r="D271" s="5" t="s">
        <v>680</v>
      </c>
      <c r="E271" s="36">
        <v>35913.0</v>
      </c>
      <c r="F271" s="5">
        <v>6.281259051156E12</v>
      </c>
      <c r="G271" s="1" t="s">
        <v>1291</v>
      </c>
      <c r="H271" s="5" t="s">
        <v>308</v>
      </c>
      <c r="I271" s="5" t="s">
        <v>57</v>
      </c>
      <c r="J271" s="5" t="s">
        <v>996</v>
      </c>
      <c r="K271" s="5" t="s">
        <v>500</v>
      </c>
      <c r="L271" s="5" t="s">
        <v>1292</v>
      </c>
    </row>
    <row r="272">
      <c r="A272" s="1" t="s">
        <v>1293</v>
      </c>
      <c r="B272" s="5" t="s">
        <v>1294</v>
      </c>
      <c r="C272" s="5" t="s">
        <v>76</v>
      </c>
      <c r="D272" s="5" t="s">
        <v>271</v>
      </c>
      <c r="E272" s="36">
        <v>34685.0</v>
      </c>
      <c r="F272" s="5">
        <v>6.281321063835E12</v>
      </c>
      <c r="G272" s="1" t="s">
        <v>1295</v>
      </c>
      <c r="H272" s="5" t="s">
        <v>649</v>
      </c>
      <c r="I272" s="5" t="s">
        <v>57</v>
      </c>
      <c r="J272" s="5" t="s">
        <v>1217</v>
      </c>
      <c r="K272" s="5" t="s">
        <v>530</v>
      </c>
      <c r="L272" s="5" t="s">
        <v>530</v>
      </c>
    </row>
    <row r="273">
      <c r="A273" s="1" t="s">
        <v>1296</v>
      </c>
      <c r="B273" s="5" t="s">
        <v>1297</v>
      </c>
      <c r="C273" s="5" t="s">
        <v>53</v>
      </c>
      <c r="D273" s="5" t="s">
        <v>119</v>
      </c>
      <c r="E273" s="36">
        <v>33348.0</v>
      </c>
      <c r="F273" s="5">
        <v>6.281333971663E12</v>
      </c>
      <c r="G273" s="1" t="s">
        <v>1298</v>
      </c>
      <c r="H273" s="5" t="s">
        <v>575</v>
      </c>
      <c r="I273" s="5" t="s">
        <v>57</v>
      </c>
      <c r="J273" s="5" t="s">
        <v>996</v>
      </c>
      <c r="K273" s="5" t="s">
        <v>529</v>
      </c>
      <c r="L273" s="5" t="s">
        <v>1299</v>
      </c>
    </row>
    <row r="274">
      <c r="A274" s="1" t="s">
        <v>1300</v>
      </c>
      <c r="B274" s="5" t="s">
        <v>1301</v>
      </c>
      <c r="C274" s="5" t="s">
        <v>53</v>
      </c>
      <c r="D274" s="5" t="s">
        <v>1302</v>
      </c>
      <c r="E274" s="36">
        <v>36521.0</v>
      </c>
      <c r="F274" s="5">
        <v>6.281295142929E12</v>
      </c>
      <c r="G274" s="1" t="s">
        <v>1303</v>
      </c>
      <c r="H274" s="5" t="s">
        <v>474</v>
      </c>
      <c r="I274" s="5" t="s">
        <v>57</v>
      </c>
      <c r="J274" s="5" t="s">
        <v>772</v>
      </c>
      <c r="K274" s="5" t="s">
        <v>1304</v>
      </c>
      <c r="L274" s="5" t="s">
        <v>1304</v>
      </c>
    </row>
    <row r="275">
      <c r="A275" s="1" t="s">
        <v>1305</v>
      </c>
      <c r="B275" s="5" t="s">
        <v>1306</v>
      </c>
      <c r="C275" s="5" t="s">
        <v>76</v>
      </c>
      <c r="D275" s="5" t="s">
        <v>1307</v>
      </c>
      <c r="E275" s="36">
        <v>35605.0</v>
      </c>
      <c r="F275" s="5">
        <v>6.281354535326E12</v>
      </c>
      <c r="G275" s="1" t="s">
        <v>1308</v>
      </c>
      <c r="H275" s="5" t="s">
        <v>308</v>
      </c>
      <c r="I275" s="5" t="s">
        <v>57</v>
      </c>
      <c r="J275" s="5" t="s">
        <v>506</v>
      </c>
      <c r="K275" s="5" t="s">
        <v>523</v>
      </c>
      <c r="L275" s="5" t="s">
        <v>1309</v>
      </c>
    </row>
    <row r="276">
      <c r="A276" s="1" t="s">
        <v>1310</v>
      </c>
      <c r="B276" s="5" t="s">
        <v>1311</v>
      </c>
      <c r="C276" s="5" t="s">
        <v>76</v>
      </c>
      <c r="D276" s="5" t="s">
        <v>537</v>
      </c>
      <c r="E276" s="35">
        <v>34901.0</v>
      </c>
      <c r="F276" s="5">
        <v>6.281226538784E12</v>
      </c>
      <c r="G276" s="1" t="s">
        <v>1312</v>
      </c>
      <c r="H276" s="5" t="s">
        <v>481</v>
      </c>
      <c r="I276" s="5" t="s">
        <v>57</v>
      </c>
      <c r="J276" s="5" t="s">
        <v>506</v>
      </c>
    </row>
    <row r="277">
      <c r="A277" s="1" t="s">
        <v>1313</v>
      </c>
      <c r="B277" s="5" t="s">
        <v>1314</v>
      </c>
      <c r="C277" s="5" t="s">
        <v>76</v>
      </c>
      <c r="D277" s="5" t="s">
        <v>908</v>
      </c>
      <c r="E277" s="35">
        <v>33806.0</v>
      </c>
      <c r="F277" s="5">
        <v>6.281958693211E12</v>
      </c>
      <c r="G277" s="1" t="s">
        <v>1315</v>
      </c>
      <c r="H277" s="5" t="s">
        <v>575</v>
      </c>
      <c r="I277" s="5" t="s">
        <v>57</v>
      </c>
      <c r="J277" s="5" t="s">
        <v>854</v>
      </c>
    </row>
    <row r="278">
      <c r="A278" s="1" t="s">
        <v>1316</v>
      </c>
      <c r="B278" s="5" t="s">
        <v>1317</v>
      </c>
      <c r="C278" s="5" t="s">
        <v>53</v>
      </c>
      <c r="D278" s="5" t="s">
        <v>811</v>
      </c>
      <c r="E278" s="36">
        <v>35463.0</v>
      </c>
      <c r="F278" s="5">
        <v>6.285640388202E12</v>
      </c>
      <c r="G278" s="1" t="s">
        <v>1318</v>
      </c>
      <c r="H278" s="5" t="s">
        <v>308</v>
      </c>
      <c r="I278" s="5" t="s">
        <v>57</v>
      </c>
      <c r="J278" s="5" t="s">
        <v>385</v>
      </c>
      <c r="K278" s="5" t="s">
        <v>529</v>
      </c>
      <c r="L278" s="5" t="s">
        <v>692</v>
      </c>
    </row>
    <row r="279">
      <c r="A279" s="1" t="s">
        <v>1319</v>
      </c>
      <c r="B279" s="5" t="s">
        <v>1320</v>
      </c>
      <c r="C279" s="5" t="s">
        <v>76</v>
      </c>
      <c r="D279" s="5" t="s">
        <v>1054</v>
      </c>
      <c r="E279" s="36">
        <v>35205.0</v>
      </c>
      <c r="F279" s="5">
        <v>6.285219801957E12</v>
      </c>
      <c r="G279" s="1" t="s">
        <v>1321</v>
      </c>
      <c r="H279" s="5" t="s">
        <v>481</v>
      </c>
      <c r="I279" s="5" t="s">
        <v>57</v>
      </c>
      <c r="J279" s="5" t="s">
        <v>952</v>
      </c>
      <c r="K279" s="5" t="s">
        <v>500</v>
      </c>
      <c r="L279" s="5" t="s">
        <v>1292</v>
      </c>
    </row>
    <row r="280">
      <c r="A280" s="1" t="s">
        <v>1322</v>
      </c>
      <c r="B280" s="5" t="s">
        <v>1323</v>
      </c>
      <c r="C280" s="5" t="s">
        <v>76</v>
      </c>
      <c r="D280" s="5" t="s">
        <v>741</v>
      </c>
      <c r="E280" s="36">
        <v>36551.0</v>
      </c>
      <c r="F280" s="5">
        <v>6.285887294288E12</v>
      </c>
      <c r="G280" s="1" t="s">
        <v>1324</v>
      </c>
      <c r="H280" s="5" t="s">
        <v>516</v>
      </c>
      <c r="I280" s="5" t="s">
        <v>57</v>
      </c>
      <c r="J280" s="5" t="s">
        <v>858</v>
      </c>
      <c r="K280" s="5" t="s">
        <v>500</v>
      </c>
      <c r="L280" s="5" t="s">
        <v>653</v>
      </c>
    </row>
    <row r="281">
      <c r="A281" s="1" t="s">
        <v>1325</v>
      </c>
      <c r="B281" s="5" t="s">
        <v>1326</v>
      </c>
      <c r="C281" s="5" t="s">
        <v>76</v>
      </c>
      <c r="D281" s="5" t="s">
        <v>741</v>
      </c>
      <c r="E281" s="35">
        <v>36076.0</v>
      </c>
      <c r="F281" s="5">
        <v>6.287871311361E12</v>
      </c>
      <c r="G281" s="1" t="s">
        <v>1327</v>
      </c>
      <c r="H281" s="5" t="s">
        <v>516</v>
      </c>
      <c r="I281" s="5" t="s">
        <v>57</v>
      </c>
      <c r="J281" s="5" t="s">
        <v>248</v>
      </c>
    </row>
    <row r="282">
      <c r="A282" s="1" t="s">
        <v>1328</v>
      </c>
      <c r="B282" s="5" t="s">
        <v>1329</v>
      </c>
      <c r="C282" s="5" t="s">
        <v>76</v>
      </c>
      <c r="D282" s="5" t="s">
        <v>724</v>
      </c>
      <c r="E282" s="36">
        <v>35777.0</v>
      </c>
      <c r="F282" s="5">
        <v>6.282137673078E12</v>
      </c>
      <c r="G282" s="1" t="s">
        <v>1330</v>
      </c>
      <c r="H282" s="5" t="s">
        <v>308</v>
      </c>
      <c r="I282" s="5" t="s">
        <v>57</v>
      </c>
      <c r="J282" s="5" t="s">
        <v>696</v>
      </c>
      <c r="K282" s="5" t="s">
        <v>697</v>
      </c>
      <c r="L282" s="5" t="s">
        <v>697</v>
      </c>
    </row>
    <row r="283">
      <c r="A283" s="1" t="s">
        <v>1331</v>
      </c>
      <c r="B283" s="5" t="s">
        <v>1332</v>
      </c>
      <c r="C283" s="5" t="s">
        <v>76</v>
      </c>
      <c r="D283" s="5" t="s">
        <v>618</v>
      </c>
      <c r="E283" s="35">
        <v>35282.0</v>
      </c>
      <c r="F283" s="5">
        <v>6.281219772225E12</v>
      </c>
      <c r="G283" s="1" t="s">
        <v>1333</v>
      </c>
      <c r="H283" s="5" t="s">
        <v>649</v>
      </c>
      <c r="I283" s="5" t="s">
        <v>57</v>
      </c>
      <c r="J283" s="5" t="s">
        <v>813</v>
      </c>
    </row>
    <row r="284">
      <c r="A284" s="1" t="s">
        <v>1334</v>
      </c>
      <c r="B284" s="5" t="s">
        <v>1335</v>
      </c>
      <c r="C284" s="5" t="s">
        <v>53</v>
      </c>
      <c r="D284" s="5" t="s">
        <v>1336</v>
      </c>
      <c r="E284" s="35">
        <v>35908.0</v>
      </c>
      <c r="F284" s="5">
        <v>6.283899767178E12</v>
      </c>
      <c r="G284" s="1" t="s">
        <v>1337</v>
      </c>
      <c r="H284" s="5" t="s">
        <v>516</v>
      </c>
      <c r="I284" s="5" t="s">
        <v>57</v>
      </c>
      <c r="J284" s="5" t="s">
        <v>576</v>
      </c>
    </row>
    <row r="285">
      <c r="A285" s="1" t="s">
        <v>1338</v>
      </c>
      <c r="B285" s="5" t="s">
        <v>1339</v>
      </c>
      <c r="C285" s="5" t="s">
        <v>53</v>
      </c>
      <c r="D285" s="5" t="s">
        <v>1340</v>
      </c>
      <c r="E285" s="36">
        <v>36485.0</v>
      </c>
      <c r="F285" s="5">
        <v>6.285288833451E12</v>
      </c>
      <c r="G285" s="1" t="s">
        <v>1341</v>
      </c>
      <c r="H285" s="5" t="s">
        <v>236</v>
      </c>
      <c r="I285" s="5" t="s">
        <v>57</v>
      </c>
      <c r="J285" s="5" t="s">
        <v>772</v>
      </c>
      <c r="K285" s="5" t="s">
        <v>529</v>
      </c>
      <c r="L285" s="5" t="s">
        <v>677</v>
      </c>
    </row>
    <row r="286">
      <c r="A286" s="1" t="s">
        <v>1342</v>
      </c>
      <c r="B286" s="5" t="s">
        <v>1343</v>
      </c>
      <c r="C286" s="5" t="s">
        <v>53</v>
      </c>
      <c r="D286" s="5" t="s">
        <v>537</v>
      </c>
      <c r="E286" s="36">
        <v>36337.0</v>
      </c>
      <c r="F286" s="5">
        <v>6.28950295225E12</v>
      </c>
      <c r="G286" s="1" t="s">
        <v>1344</v>
      </c>
      <c r="H286" s="5" t="s">
        <v>516</v>
      </c>
      <c r="I286" s="5" t="s">
        <v>57</v>
      </c>
      <c r="J286" s="5" t="s">
        <v>576</v>
      </c>
      <c r="K286" s="5" t="s">
        <v>556</v>
      </c>
      <c r="L286" s="5" t="s">
        <v>808</v>
      </c>
    </row>
    <row r="287">
      <c r="A287" s="1" t="s">
        <v>1345</v>
      </c>
      <c r="B287" s="5" t="s">
        <v>1346</v>
      </c>
      <c r="C287" s="5" t="s">
        <v>53</v>
      </c>
      <c r="D287" s="5" t="s">
        <v>972</v>
      </c>
      <c r="E287" s="36">
        <v>35512.0</v>
      </c>
      <c r="F287" s="5">
        <v>6.28999995149E11</v>
      </c>
      <c r="G287" s="1" t="s">
        <v>1347</v>
      </c>
      <c r="H287" s="5" t="s">
        <v>308</v>
      </c>
      <c r="I287" s="5" t="s">
        <v>57</v>
      </c>
      <c r="J287" s="5" t="s">
        <v>576</v>
      </c>
      <c r="K287" s="5" t="s">
        <v>529</v>
      </c>
      <c r="L287" s="5" t="s">
        <v>564</v>
      </c>
    </row>
    <row r="288">
      <c r="A288" s="1" t="s">
        <v>1348</v>
      </c>
      <c r="B288" s="5" t="s">
        <v>1349</v>
      </c>
      <c r="C288" s="5" t="s">
        <v>53</v>
      </c>
      <c r="D288" s="5" t="s">
        <v>1039</v>
      </c>
      <c r="E288" s="36">
        <v>34162.0</v>
      </c>
      <c r="F288" s="5">
        <v>6.282240360676E12</v>
      </c>
      <c r="G288" s="1" t="s">
        <v>1350</v>
      </c>
      <c r="H288" s="5" t="s">
        <v>649</v>
      </c>
      <c r="I288" s="5" t="s">
        <v>57</v>
      </c>
      <c r="J288" s="5" t="s">
        <v>707</v>
      </c>
      <c r="K288" s="5" t="s">
        <v>1351</v>
      </c>
      <c r="L288" s="5" t="s">
        <v>1352</v>
      </c>
    </row>
    <row r="289">
      <c r="A289" s="1" t="s">
        <v>1353</v>
      </c>
      <c r="B289" s="5" t="s">
        <v>1354</v>
      </c>
      <c r="C289" s="5" t="s">
        <v>76</v>
      </c>
      <c r="D289" s="5" t="s">
        <v>1089</v>
      </c>
      <c r="E289" s="35">
        <v>34960.0</v>
      </c>
      <c r="F289" s="5">
        <v>6.281287267704E12</v>
      </c>
      <c r="G289" s="1" t="s">
        <v>1355</v>
      </c>
      <c r="H289" s="5" t="s">
        <v>649</v>
      </c>
      <c r="I289" s="5" t="s">
        <v>57</v>
      </c>
      <c r="J289" s="5" t="s">
        <v>482</v>
      </c>
    </row>
    <row r="290">
      <c r="A290" s="1" t="s">
        <v>1356</v>
      </c>
      <c r="B290" s="5" t="s">
        <v>1357</v>
      </c>
      <c r="C290" s="5" t="s">
        <v>53</v>
      </c>
      <c r="D290" s="5" t="s">
        <v>968</v>
      </c>
      <c r="E290" s="36">
        <v>37154.0</v>
      </c>
      <c r="F290" s="5">
        <v>6.2895611027268E13</v>
      </c>
      <c r="G290" s="1" t="s">
        <v>1358</v>
      </c>
      <c r="H290" s="5" t="s">
        <v>293</v>
      </c>
      <c r="I290" s="5" t="s">
        <v>57</v>
      </c>
      <c r="J290" s="5" t="s">
        <v>238</v>
      </c>
      <c r="K290" s="5" t="s">
        <v>500</v>
      </c>
      <c r="L290" s="5" t="s">
        <v>1359</v>
      </c>
    </row>
    <row r="291">
      <c r="A291" s="1" t="s">
        <v>1360</v>
      </c>
      <c r="B291" s="5" t="s">
        <v>1361</v>
      </c>
      <c r="C291" s="5" t="s">
        <v>76</v>
      </c>
      <c r="D291" s="5" t="s">
        <v>908</v>
      </c>
      <c r="E291" s="36">
        <v>36537.0</v>
      </c>
      <c r="F291" s="5">
        <v>6.282371026766E12</v>
      </c>
      <c r="G291" s="1" t="s">
        <v>1362</v>
      </c>
      <c r="H291" s="5" t="s">
        <v>516</v>
      </c>
      <c r="I291" s="5" t="s">
        <v>57</v>
      </c>
      <c r="J291" s="5" t="s">
        <v>854</v>
      </c>
      <c r="K291" s="5" t="s">
        <v>500</v>
      </c>
      <c r="L291" s="5" t="s">
        <v>1292</v>
      </c>
    </row>
    <row r="292">
      <c r="A292" s="1" t="s">
        <v>1363</v>
      </c>
      <c r="B292" s="5" t="s">
        <v>1364</v>
      </c>
      <c r="C292" s="5" t="s">
        <v>76</v>
      </c>
      <c r="D292" s="5" t="s">
        <v>537</v>
      </c>
      <c r="E292" s="35">
        <v>36409.0</v>
      </c>
      <c r="F292" s="5">
        <v>6.287886579386E12</v>
      </c>
      <c r="G292" s="1" t="s">
        <v>1365</v>
      </c>
      <c r="H292" s="5" t="s">
        <v>438</v>
      </c>
      <c r="I292" s="5" t="s">
        <v>57</v>
      </c>
      <c r="J292" s="5" t="s">
        <v>1217</v>
      </c>
    </row>
    <row r="293">
      <c r="A293" s="1" t="s">
        <v>1366</v>
      </c>
      <c r="B293" s="5" t="s">
        <v>1367</v>
      </c>
      <c r="C293" s="5" t="s">
        <v>76</v>
      </c>
      <c r="D293" s="5" t="s">
        <v>633</v>
      </c>
      <c r="E293" s="35">
        <v>34826.0</v>
      </c>
      <c r="F293" s="5">
        <v>6.285765217471E12</v>
      </c>
      <c r="G293" s="1" t="s">
        <v>1368</v>
      </c>
      <c r="H293" s="5" t="s">
        <v>649</v>
      </c>
      <c r="I293" s="5" t="s">
        <v>57</v>
      </c>
      <c r="J293" s="5" t="s">
        <v>576</v>
      </c>
    </row>
    <row r="294">
      <c r="A294" s="1" t="s">
        <v>1369</v>
      </c>
      <c r="B294" s="5" t="s">
        <v>1370</v>
      </c>
      <c r="C294" s="5" t="s">
        <v>76</v>
      </c>
      <c r="D294" s="5" t="s">
        <v>1371</v>
      </c>
      <c r="E294" s="35">
        <v>36662.0</v>
      </c>
      <c r="F294" s="5">
        <v>6.281229007833E12</v>
      </c>
      <c r="G294" s="1" t="s">
        <v>1372</v>
      </c>
      <c r="H294" s="5" t="s">
        <v>236</v>
      </c>
      <c r="I294" s="5" t="s">
        <v>57</v>
      </c>
      <c r="J294" s="5" t="s">
        <v>517</v>
      </c>
    </row>
    <row r="295">
      <c r="A295" s="1" t="s">
        <v>1373</v>
      </c>
      <c r="B295" s="5" t="s">
        <v>1374</v>
      </c>
      <c r="C295" s="5" t="s">
        <v>76</v>
      </c>
      <c r="D295" s="5" t="s">
        <v>1375</v>
      </c>
      <c r="E295" s="35">
        <v>37007.0</v>
      </c>
      <c r="F295" s="5">
        <v>6.28778813254E12</v>
      </c>
      <c r="G295" s="1" t="s">
        <v>1376</v>
      </c>
      <c r="H295" s="5" t="s">
        <v>293</v>
      </c>
      <c r="I295" s="5" t="s">
        <v>57</v>
      </c>
      <c r="J295" s="5" t="s">
        <v>996</v>
      </c>
    </row>
    <row r="296">
      <c r="A296" s="1" t="s">
        <v>1377</v>
      </c>
      <c r="B296" s="5" t="s">
        <v>1378</v>
      </c>
      <c r="C296" s="5" t="s">
        <v>53</v>
      </c>
      <c r="D296" s="5" t="s">
        <v>373</v>
      </c>
      <c r="E296" s="36">
        <v>33368.0</v>
      </c>
      <c r="F296" s="5">
        <v>6.01160756225E11</v>
      </c>
      <c r="G296" s="1" t="s">
        <v>1379</v>
      </c>
      <c r="H296" s="5" t="s">
        <v>575</v>
      </c>
      <c r="I296" s="5" t="s">
        <v>57</v>
      </c>
      <c r="J296" s="5" t="s">
        <v>309</v>
      </c>
      <c r="K296" s="5" t="s">
        <v>523</v>
      </c>
      <c r="L296" s="5" t="s">
        <v>577</v>
      </c>
    </row>
    <row r="297">
      <c r="A297" s="1" t="s">
        <v>1380</v>
      </c>
      <c r="B297" s="5" t="s">
        <v>1381</v>
      </c>
      <c r="C297" s="5" t="s">
        <v>76</v>
      </c>
      <c r="D297" s="5" t="s">
        <v>1382</v>
      </c>
      <c r="E297" s="35">
        <v>36774.0</v>
      </c>
      <c r="F297" s="5">
        <v>6.285337442765E12</v>
      </c>
      <c r="G297" s="1" t="s">
        <v>1383</v>
      </c>
      <c r="H297" s="5" t="s">
        <v>236</v>
      </c>
      <c r="I297" s="5" t="s">
        <v>57</v>
      </c>
      <c r="J297" s="5" t="s">
        <v>1044</v>
      </c>
    </row>
    <row r="298">
      <c r="A298" s="1" t="s">
        <v>1384</v>
      </c>
      <c r="B298" s="5" t="s">
        <v>1385</v>
      </c>
      <c r="C298" s="5" t="s">
        <v>53</v>
      </c>
      <c r="D298" s="5" t="s">
        <v>537</v>
      </c>
      <c r="E298" s="36">
        <v>37145.0</v>
      </c>
      <c r="F298" s="5">
        <v>6.285891532872E12</v>
      </c>
      <c r="G298" s="1" t="s">
        <v>1386</v>
      </c>
      <c r="H298" s="5" t="s">
        <v>293</v>
      </c>
      <c r="I298" s="5" t="s">
        <v>57</v>
      </c>
      <c r="J298" s="5" t="s">
        <v>783</v>
      </c>
      <c r="K298" s="5" t="s">
        <v>523</v>
      </c>
      <c r="L298" s="5" t="s">
        <v>1387</v>
      </c>
    </row>
    <row r="299">
      <c r="A299" s="1" t="s">
        <v>1388</v>
      </c>
      <c r="B299" s="5" t="s">
        <v>1389</v>
      </c>
      <c r="C299" s="5" t="s">
        <v>76</v>
      </c>
      <c r="D299" s="5" t="s">
        <v>908</v>
      </c>
      <c r="E299" s="35">
        <v>35922.0</v>
      </c>
      <c r="F299" s="5">
        <v>6.282111863443E12</v>
      </c>
      <c r="G299" s="1" t="s">
        <v>1390</v>
      </c>
      <c r="H299" s="5" t="s">
        <v>438</v>
      </c>
      <c r="I299" s="5" t="s">
        <v>57</v>
      </c>
      <c r="J299" s="5" t="s">
        <v>576</v>
      </c>
    </row>
    <row r="300">
      <c r="A300" s="1" t="s">
        <v>1391</v>
      </c>
      <c r="B300" s="5" t="s">
        <v>1392</v>
      </c>
      <c r="C300" s="5" t="s">
        <v>76</v>
      </c>
      <c r="D300" s="5" t="s">
        <v>633</v>
      </c>
      <c r="E300" s="35">
        <v>36662.0</v>
      </c>
      <c r="F300" s="5">
        <v>6.282122957292E12</v>
      </c>
      <c r="G300" s="1" t="s">
        <v>1393</v>
      </c>
      <c r="H300" s="5" t="s">
        <v>236</v>
      </c>
      <c r="I300" s="5" t="s">
        <v>562</v>
      </c>
      <c r="J300" s="5" t="s">
        <v>707</v>
      </c>
      <c r="K300" s="5" t="s">
        <v>523</v>
      </c>
      <c r="L300" s="5" t="s">
        <v>1394</v>
      </c>
    </row>
    <row r="301">
      <c r="A301" s="1" t="s">
        <v>1395</v>
      </c>
      <c r="B301" s="5" t="s">
        <v>1396</v>
      </c>
      <c r="C301" s="5" t="s">
        <v>53</v>
      </c>
      <c r="D301" s="5" t="s">
        <v>1340</v>
      </c>
      <c r="E301" s="36">
        <v>36786.0</v>
      </c>
      <c r="F301" s="5">
        <v>6.281318996958E12</v>
      </c>
      <c r="G301" s="1" t="s">
        <v>1397</v>
      </c>
      <c r="H301" s="5" t="s">
        <v>236</v>
      </c>
      <c r="I301" s="5" t="s">
        <v>57</v>
      </c>
      <c r="J301" s="5" t="s">
        <v>517</v>
      </c>
      <c r="K301" s="5" t="s">
        <v>529</v>
      </c>
      <c r="L301" s="5" t="s">
        <v>692</v>
      </c>
    </row>
    <row r="302">
      <c r="A302" s="1" t="s">
        <v>1398</v>
      </c>
      <c r="B302" s="5" t="s">
        <v>1399</v>
      </c>
      <c r="C302" s="5" t="s">
        <v>53</v>
      </c>
      <c r="D302" s="5" t="s">
        <v>1400</v>
      </c>
      <c r="E302" s="36">
        <v>35915.0</v>
      </c>
      <c r="F302" s="5">
        <v>6.282361009936E12</v>
      </c>
      <c r="G302" s="1" t="s">
        <v>1401</v>
      </c>
      <c r="H302" s="5" t="s">
        <v>308</v>
      </c>
      <c r="I302" s="5" t="s">
        <v>57</v>
      </c>
      <c r="J302" s="5" t="s">
        <v>858</v>
      </c>
      <c r="K302" s="5" t="s">
        <v>539</v>
      </c>
      <c r="L302" s="5" t="s">
        <v>1402</v>
      </c>
    </row>
    <row r="303">
      <c r="A303" s="1" t="s">
        <v>1403</v>
      </c>
      <c r="B303" s="5" t="s">
        <v>1404</v>
      </c>
      <c r="C303" s="5" t="s">
        <v>53</v>
      </c>
      <c r="D303" s="5" t="s">
        <v>373</v>
      </c>
      <c r="E303" s="36">
        <v>38016.0</v>
      </c>
      <c r="F303" s="5">
        <v>6.282285355765E12</v>
      </c>
      <c r="G303" s="1" t="s">
        <v>1405</v>
      </c>
      <c r="H303" s="5" t="s">
        <v>544</v>
      </c>
      <c r="I303" s="5" t="s">
        <v>57</v>
      </c>
      <c r="J303" s="5" t="s">
        <v>517</v>
      </c>
      <c r="K303" s="5" t="s">
        <v>529</v>
      </c>
      <c r="L303" s="5" t="s">
        <v>692</v>
      </c>
    </row>
    <row r="304">
      <c r="A304" s="1" t="s">
        <v>1406</v>
      </c>
      <c r="B304" s="5" t="s">
        <v>1407</v>
      </c>
      <c r="C304" s="5" t="s">
        <v>76</v>
      </c>
      <c r="D304" s="5" t="s">
        <v>537</v>
      </c>
      <c r="E304" s="35">
        <v>36239.0</v>
      </c>
      <c r="F304" s="5">
        <v>6.287776499258E12</v>
      </c>
      <c r="G304" s="1" t="s">
        <v>1408</v>
      </c>
      <c r="H304" s="5" t="s">
        <v>516</v>
      </c>
      <c r="I304" s="5" t="s">
        <v>57</v>
      </c>
      <c r="J304" s="5" t="s">
        <v>1409</v>
      </c>
    </row>
    <row r="305">
      <c r="A305" s="1" t="s">
        <v>1410</v>
      </c>
      <c r="B305" s="5" t="s">
        <v>1411</v>
      </c>
      <c r="C305" s="5" t="s">
        <v>76</v>
      </c>
      <c r="D305" s="5" t="s">
        <v>633</v>
      </c>
      <c r="E305" s="35">
        <v>37181.0</v>
      </c>
      <c r="F305" s="5">
        <v>6.285712277688E12</v>
      </c>
      <c r="G305" s="1" t="s">
        <v>1412</v>
      </c>
      <c r="H305" s="5" t="s">
        <v>293</v>
      </c>
      <c r="I305" s="5" t="s">
        <v>57</v>
      </c>
      <c r="J305" s="5" t="s">
        <v>613</v>
      </c>
    </row>
    <row r="306">
      <c r="A306" s="1" t="s">
        <v>1413</v>
      </c>
      <c r="B306" s="5" t="s">
        <v>1414</v>
      </c>
      <c r="C306" s="5" t="s">
        <v>53</v>
      </c>
      <c r="D306" s="5" t="s">
        <v>1415</v>
      </c>
      <c r="E306" s="35">
        <v>36908.0</v>
      </c>
      <c r="F306" s="5">
        <v>6.28132769963E12</v>
      </c>
      <c r="G306" s="1" t="s">
        <v>1416</v>
      </c>
      <c r="H306" s="5" t="s">
        <v>293</v>
      </c>
      <c r="I306" s="5" t="s">
        <v>57</v>
      </c>
      <c r="J306" s="5" t="s">
        <v>517</v>
      </c>
    </row>
    <row r="307">
      <c r="A307" s="1" t="s">
        <v>1417</v>
      </c>
      <c r="B307" s="5" t="s">
        <v>1418</v>
      </c>
      <c r="C307" s="5" t="s">
        <v>53</v>
      </c>
      <c r="D307" s="5" t="s">
        <v>775</v>
      </c>
      <c r="E307" s="36">
        <v>36912.0</v>
      </c>
      <c r="F307" s="5">
        <v>6.2895362961876E13</v>
      </c>
      <c r="G307" s="1" t="s">
        <v>1419</v>
      </c>
      <c r="H307" s="5" t="s">
        <v>544</v>
      </c>
      <c r="I307" s="5" t="s">
        <v>562</v>
      </c>
      <c r="J307" s="5" t="s">
        <v>984</v>
      </c>
      <c r="K307" s="5" t="s">
        <v>1420</v>
      </c>
      <c r="L307" s="5" t="s">
        <v>1421</v>
      </c>
    </row>
    <row r="308">
      <c r="A308" s="1" t="s">
        <v>1422</v>
      </c>
      <c r="B308" s="5" t="s">
        <v>1423</v>
      </c>
      <c r="C308" s="5" t="s">
        <v>53</v>
      </c>
      <c r="D308" s="5" t="s">
        <v>472</v>
      </c>
      <c r="E308" s="36">
        <v>38297.0</v>
      </c>
      <c r="F308" s="5">
        <v>6.287785340863E12</v>
      </c>
      <c r="G308" s="1" t="s">
        <v>1424</v>
      </c>
      <c r="H308" s="5" t="s">
        <v>544</v>
      </c>
      <c r="I308" s="5" t="s">
        <v>57</v>
      </c>
      <c r="J308" s="5" t="s">
        <v>1425</v>
      </c>
      <c r="K308" s="5" t="s">
        <v>1426</v>
      </c>
      <c r="L308" s="5" t="s">
        <v>1402</v>
      </c>
    </row>
    <row r="309">
      <c r="A309" s="1" t="s">
        <v>1427</v>
      </c>
      <c r="B309" s="5" t="s">
        <v>1428</v>
      </c>
      <c r="C309" s="5" t="s">
        <v>76</v>
      </c>
      <c r="D309" s="5" t="s">
        <v>892</v>
      </c>
      <c r="E309" s="36">
        <v>33278.0</v>
      </c>
      <c r="F309" s="5">
        <v>6.281808180902E12</v>
      </c>
      <c r="G309" s="1" t="s">
        <v>1429</v>
      </c>
      <c r="H309" s="5" t="s">
        <v>1032</v>
      </c>
      <c r="I309" s="5" t="s">
        <v>57</v>
      </c>
      <c r="J309" s="5" t="s">
        <v>707</v>
      </c>
      <c r="K309" s="5" t="s">
        <v>577</v>
      </c>
      <c r="L309" s="5" t="s">
        <v>1430</v>
      </c>
    </row>
    <row r="310">
      <c r="A310" s="1" t="s">
        <v>1431</v>
      </c>
      <c r="B310" s="5" t="s">
        <v>1432</v>
      </c>
      <c r="C310" s="5" t="s">
        <v>76</v>
      </c>
      <c r="D310" s="5" t="s">
        <v>972</v>
      </c>
      <c r="E310" s="36">
        <v>32937.0</v>
      </c>
      <c r="F310" s="5">
        <v>6.287873624769E12</v>
      </c>
      <c r="G310" s="1" t="s">
        <v>1433</v>
      </c>
      <c r="H310" s="5" t="s">
        <v>1032</v>
      </c>
      <c r="I310" s="5" t="s">
        <v>57</v>
      </c>
      <c r="J310" s="5" t="s">
        <v>1434</v>
      </c>
      <c r="K310" s="5" t="s">
        <v>523</v>
      </c>
      <c r="L310" s="5" t="s">
        <v>577</v>
      </c>
    </row>
    <row r="311">
      <c r="A311" s="1" t="s">
        <v>1435</v>
      </c>
      <c r="B311" s="5" t="s">
        <v>1436</v>
      </c>
      <c r="C311" s="5" t="s">
        <v>76</v>
      </c>
      <c r="D311" s="5" t="s">
        <v>968</v>
      </c>
      <c r="E311" s="36">
        <v>32874.0</v>
      </c>
      <c r="F311" s="5">
        <v>6.285352208575E12</v>
      </c>
      <c r="G311" s="1" t="s">
        <v>1437</v>
      </c>
      <c r="H311" s="5" t="s">
        <v>1032</v>
      </c>
      <c r="I311" s="5" t="s">
        <v>57</v>
      </c>
      <c r="J311" s="5" t="s">
        <v>707</v>
      </c>
      <c r="K311" s="5" t="s">
        <v>577</v>
      </c>
      <c r="L311" s="5" t="s">
        <v>1352</v>
      </c>
    </row>
    <row r="312">
      <c r="A312" s="1" t="s">
        <v>1438</v>
      </c>
      <c r="B312" s="5" t="s">
        <v>1439</v>
      </c>
      <c r="C312" s="5" t="s">
        <v>76</v>
      </c>
      <c r="D312" s="5" t="s">
        <v>373</v>
      </c>
      <c r="E312" s="35">
        <v>33957.0</v>
      </c>
      <c r="F312" s="5">
        <v>6.285275520101E12</v>
      </c>
      <c r="G312" s="1" t="s">
        <v>1440</v>
      </c>
      <c r="H312" s="5" t="s">
        <v>575</v>
      </c>
      <c r="I312" s="5" t="s">
        <v>57</v>
      </c>
      <c r="J312" s="5" t="s">
        <v>1048</v>
      </c>
    </row>
    <row r="313">
      <c r="A313" s="1" t="s">
        <v>1441</v>
      </c>
      <c r="B313" s="5" t="s">
        <v>1442</v>
      </c>
      <c r="C313" s="5" t="s">
        <v>76</v>
      </c>
      <c r="D313" s="5" t="s">
        <v>533</v>
      </c>
      <c r="E313" s="36">
        <v>37751.0</v>
      </c>
      <c r="F313" s="5">
        <v>6.287818161818E12</v>
      </c>
      <c r="G313" s="1" t="s">
        <v>1443</v>
      </c>
      <c r="H313" s="5" t="s">
        <v>544</v>
      </c>
      <c r="I313" s="5" t="s">
        <v>57</v>
      </c>
      <c r="J313" s="5" t="s">
        <v>825</v>
      </c>
      <c r="K313" s="5" t="s">
        <v>1444</v>
      </c>
      <c r="L313" s="5" t="s">
        <v>1359</v>
      </c>
    </row>
    <row r="314">
      <c r="A314" s="1" t="s">
        <v>1445</v>
      </c>
      <c r="B314" s="5" t="s">
        <v>1446</v>
      </c>
      <c r="C314" s="5" t="s">
        <v>53</v>
      </c>
      <c r="D314" s="5" t="s">
        <v>1054</v>
      </c>
      <c r="E314" s="36">
        <v>32109.0</v>
      </c>
      <c r="F314" s="5">
        <v>6.285741249323E12</v>
      </c>
      <c r="G314" s="1" t="s">
        <v>1447</v>
      </c>
      <c r="H314" s="5" t="s">
        <v>1448</v>
      </c>
      <c r="I314" s="5" t="s">
        <v>57</v>
      </c>
      <c r="J314" s="5" t="s">
        <v>1425</v>
      </c>
      <c r="K314" s="5" t="s">
        <v>1449</v>
      </c>
      <c r="L314" s="5" t="s">
        <v>1450</v>
      </c>
    </row>
    <row r="315">
      <c r="A315" s="1" t="s">
        <v>1451</v>
      </c>
      <c r="B315" s="5" t="s">
        <v>1452</v>
      </c>
      <c r="C315" s="5" t="s">
        <v>53</v>
      </c>
      <c r="D315" s="5" t="s">
        <v>1030</v>
      </c>
      <c r="E315" s="36">
        <v>31750.0</v>
      </c>
      <c r="F315" s="5">
        <v>6.285225828278E12</v>
      </c>
      <c r="G315" s="1" t="s">
        <v>1453</v>
      </c>
      <c r="H315" s="5" t="s">
        <v>1448</v>
      </c>
      <c r="I315" s="5" t="s">
        <v>57</v>
      </c>
      <c r="J315" s="5" t="s">
        <v>1425</v>
      </c>
      <c r="K315" s="5" t="s">
        <v>1449</v>
      </c>
      <c r="L315" s="5" t="s">
        <v>1454</v>
      </c>
    </row>
    <row r="316">
      <c r="A316" s="1" t="s">
        <v>1455</v>
      </c>
      <c r="B316" s="5" t="s">
        <v>1456</v>
      </c>
      <c r="C316" s="5" t="s">
        <v>53</v>
      </c>
      <c r="D316" s="5" t="s">
        <v>618</v>
      </c>
      <c r="E316" s="36">
        <v>29884.0</v>
      </c>
      <c r="F316" s="5">
        <v>6.28122565103E11</v>
      </c>
      <c r="G316" s="1" t="s">
        <v>1457</v>
      </c>
      <c r="H316" s="5" t="s">
        <v>1209</v>
      </c>
      <c r="I316" s="5" t="s">
        <v>57</v>
      </c>
      <c r="J316" s="5" t="s">
        <v>783</v>
      </c>
      <c r="K316" s="5" t="s">
        <v>501</v>
      </c>
      <c r="L316" s="5" t="s">
        <v>501</v>
      </c>
    </row>
    <row r="317">
      <c r="A317" s="1" t="s">
        <v>1458</v>
      </c>
      <c r="B317" s="5" t="s">
        <v>1459</v>
      </c>
      <c r="C317" s="5" t="s">
        <v>53</v>
      </c>
      <c r="D317" s="5" t="s">
        <v>472</v>
      </c>
      <c r="E317" s="36">
        <v>31420.0</v>
      </c>
      <c r="F317" s="5">
        <v>6.2882008274398E13</v>
      </c>
      <c r="G317" s="1" t="s">
        <v>1460</v>
      </c>
      <c r="H317" s="5" t="s">
        <v>1032</v>
      </c>
      <c r="I317" s="5" t="s">
        <v>57</v>
      </c>
      <c r="J317" s="5" t="s">
        <v>475</v>
      </c>
      <c r="K317" s="5" t="s">
        <v>529</v>
      </c>
      <c r="L317" s="5" t="s">
        <v>1461</v>
      </c>
    </row>
    <row r="318">
      <c r="A318" s="1" t="s">
        <v>1462</v>
      </c>
      <c r="B318" s="5" t="s">
        <v>1463</v>
      </c>
      <c r="C318" s="5" t="s">
        <v>53</v>
      </c>
      <c r="D318" s="5" t="s">
        <v>472</v>
      </c>
      <c r="E318" s="36">
        <v>33528.0</v>
      </c>
      <c r="F318" s="5">
        <v>6.281228681226E12</v>
      </c>
      <c r="G318" s="1" t="s">
        <v>1464</v>
      </c>
      <c r="H318" s="5" t="s">
        <v>939</v>
      </c>
      <c r="I318" s="5" t="s">
        <v>57</v>
      </c>
      <c r="J318" s="5" t="s">
        <v>1425</v>
      </c>
      <c r="K318" s="5" t="s">
        <v>1449</v>
      </c>
      <c r="L318" s="5" t="s">
        <v>1454</v>
      </c>
    </row>
    <row r="319">
      <c r="A319" s="1" t="s">
        <v>1465</v>
      </c>
      <c r="B319" s="5" t="s">
        <v>1466</v>
      </c>
      <c r="C319" s="5" t="s">
        <v>76</v>
      </c>
      <c r="D319" s="5" t="s">
        <v>472</v>
      </c>
      <c r="E319" s="36">
        <v>35682.0</v>
      </c>
      <c r="F319" s="5">
        <v>6.285870575968E12</v>
      </c>
      <c r="G319" s="1" t="s">
        <v>1467</v>
      </c>
      <c r="H319" s="5" t="s">
        <v>308</v>
      </c>
      <c r="I319" s="5" t="s">
        <v>57</v>
      </c>
      <c r="J319" s="5" t="s">
        <v>613</v>
      </c>
      <c r="K319" s="5" t="s">
        <v>500</v>
      </c>
      <c r="L319" s="5" t="s">
        <v>1105</v>
      </c>
    </row>
    <row r="320">
      <c r="A320" s="1" t="s">
        <v>1468</v>
      </c>
      <c r="B320" s="5" t="s">
        <v>1469</v>
      </c>
      <c r="C320" s="5" t="s">
        <v>76</v>
      </c>
      <c r="D320" s="5" t="s">
        <v>618</v>
      </c>
      <c r="E320" s="36">
        <v>37360.0</v>
      </c>
      <c r="F320" s="5">
        <v>6.2895410960804E13</v>
      </c>
      <c r="G320" s="1" t="s">
        <v>1470</v>
      </c>
      <c r="H320" s="5" t="s">
        <v>544</v>
      </c>
      <c r="I320" s="5" t="s">
        <v>57</v>
      </c>
      <c r="J320" s="5" t="s">
        <v>847</v>
      </c>
      <c r="K320" s="5" t="s">
        <v>697</v>
      </c>
      <c r="L320" s="5" t="s">
        <v>697</v>
      </c>
    </row>
    <row r="321">
      <c r="A321" s="1" t="s">
        <v>1471</v>
      </c>
      <c r="B321" s="5" t="s">
        <v>1472</v>
      </c>
      <c r="C321" s="5" t="s">
        <v>76</v>
      </c>
      <c r="D321" s="5" t="s">
        <v>1473</v>
      </c>
      <c r="E321" s="36">
        <v>37746.0</v>
      </c>
      <c r="F321" s="5">
        <v>6.281210618129E12</v>
      </c>
      <c r="G321" s="1" t="s">
        <v>1474</v>
      </c>
      <c r="H321" s="5" t="s">
        <v>544</v>
      </c>
      <c r="I321" s="5" t="s">
        <v>57</v>
      </c>
      <c r="J321" s="5" t="s">
        <v>576</v>
      </c>
      <c r="K321" s="5" t="s">
        <v>672</v>
      </c>
      <c r="L321" s="5" t="s">
        <v>615</v>
      </c>
    </row>
    <row r="322">
      <c r="A322" s="1" t="s">
        <v>1475</v>
      </c>
      <c r="B322" s="5" t="s">
        <v>1476</v>
      </c>
      <c r="C322" s="5" t="s">
        <v>76</v>
      </c>
      <c r="D322" s="5" t="s">
        <v>618</v>
      </c>
      <c r="E322" s="35">
        <v>37036.0</v>
      </c>
      <c r="F322" s="5">
        <v>6.282243849934E12</v>
      </c>
      <c r="G322" s="1" t="s">
        <v>1477</v>
      </c>
      <c r="H322" s="5" t="s">
        <v>293</v>
      </c>
      <c r="I322" s="5" t="s">
        <v>57</v>
      </c>
      <c r="J322" s="5" t="s">
        <v>517</v>
      </c>
    </row>
    <row r="323">
      <c r="A323" s="1" t="s">
        <v>1478</v>
      </c>
      <c r="B323" s="5" t="s">
        <v>1479</v>
      </c>
      <c r="C323" s="5" t="s">
        <v>53</v>
      </c>
      <c r="D323" s="5" t="s">
        <v>892</v>
      </c>
      <c r="E323" s="36">
        <v>30381.0</v>
      </c>
      <c r="F323" s="5">
        <v>6.281326363893E12</v>
      </c>
      <c r="G323" s="1" t="s">
        <v>1480</v>
      </c>
      <c r="H323" s="5" t="s">
        <v>56</v>
      </c>
      <c r="I323" s="5" t="s">
        <v>57</v>
      </c>
      <c r="J323" s="5" t="s">
        <v>506</v>
      </c>
      <c r="K323" s="5" t="s">
        <v>848</v>
      </c>
      <c r="L323" s="5" t="s">
        <v>849</v>
      </c>
    </row>
    <row r="324">
      <c r="A324" s="1" t="s">
        <v>1481</v>
      </c>
      <c r="B324" s="5" t="s">
        <v>1482</v>
      </c>
      <c r="C324" s="5" t="s">
        <v>76</v>
      </c>
      <c r="D324" s="5" t="s">
        <v>271</v>
      </c>
      <c r="E324" s="36">
        <v>34668.0</v>
      </c>
      <c r="F324" s="5">
        <v>6.281220656416E12</v>
      </c>
      <c r="G324" s="1" t="s">
        <v>1483</v>
      </c>
      <c r="H324" s="5" t="s">
        <v>649</v>
      </c>
      <c r="I324" s="5" t="s">
        <v>57</v>
      </c>
      <c r="J324" s="5" t="s">
        <v>267</v>
      </c>
      <c r="K324" s="5" t="s">
        <v>672</v>
      </c>
      <c r="L324" s="5" t="s">
        <v>1484</v>
      </c>
    </row>
    <row r="325">
      <c r="A325" s="1" t="s">
        <v>1485</v>
      </c>
      <c r="B325" s="5" t="s">
        <v>1486</v>
      </c>
      <c r="C325" s="5" t="s">
        <v>53</v>
      </c>
      <c r="D325" s="5" t="s">
        <v>1487</v>
      </c>
      <c r="E325" s="36">
        <v>35777.0</v>
      </c>
      <c r="F325" s="5">
        <v>6.285694975034E12</v>
      </c>
      <c r="G325" s="1" t="s">
        <v>1488</v>
      </c>
      <c r="H325" s="5" t="s">
        <v>308</v>
      </c>
      <c r="I325" s="5" t="s">
        <v>57</v>
      </c>
      <c r="J325" s="5" t="s">
        <v>858</v>
      </c>
      <c r="K325" s="5" t="s">
        <v>1489</v>
      </c>
      <c r="L325" s="5" t="s">
        <v>1490</v>
      </c>
    </row>
    <row r="326">
      <c r="A326" s="1" t="s">
        <v>1491</v>
      </c>
      <c r="B326" s="5" t="s">
        <v>1492</v>
      </c>
      <c r="C326" s="5" t="s">
        <v>53</v>
      </c>
      <c r="D326" s="5" t="s">
        <v>741</v>
      </c>
      <c r="E326" s="36">
        <v>33430.0</v>
      </c>
      <c r="F326" s="5">
        <v>6.281291890759E12</v>
      </c>
      <c r="G326" s="1" t="s">
        <v>1493</v>
      </c>
      <c r="H326" s="5" t="s">
        <v>499</v>
      </c>
      <c r="I326" s="5" t="s">
        <v>57</v>
      </c>
      <c r="J326" s="5" t="s">
        <v>576</v>
      </c>
      <c r="K326" s="5" t="s">
        <v>539</v>
      </c>
      <c r="L326" s="5" t="s">
        <v>799</v>
      </c>
    </row>
    <row r="327">
      <c r="A327" s="1" t="s">
        <v>1494</v>
      </c>
      <c r="B327" s="5" t="s">
        <v>1495</v>
      </c>
      <c r="C327" s="5" t="s">
        <v>76</v>
      </c>
      <c r="D327" s="5" t="s">
        <v>1496</v>
      </c>
      <c r="E327" s="36">
        <v>36463.0</v>
      </c>
      <c r="F327" s="5">
        <v>6.282140644818E12</v>
      </c>
      <c r="G327" s="1" t="s">
        <v>1497</v>
      </c>
      <c r="H327" s="5" t="s">
        <v>236</v>
      </c>
      <c r="I327" s="5" t="s">
        <v>57</v>
      </c>
      <c r="J327" s="5" t="s">
        <v>772</v>
      </c>
      <c r="K327" s="5" t="s">
        <v>556</v>
      </c>
      <c r="L327" s="5" t="s">
        <v>808</v>
      </c>
    </row>
    <row r="328">
      <c r="A328" s="1" t="s">
        <v>1498</v>
      </c>
      <c r="B328" s="5" t="s">
        <v>1499</v>
      </c>
      <c r="C328" s="5" t="s">
        <v>76</v>
      </c>
      <c r="D328" s="5" t="s">
        <v>1500</v>
      </c>
      <c r="E328" s="35">
        <v>36489.0</v>
      </c>
      <c r="F328" s="5">
        <v>6.282214682408E12</v>
      </c>
      <c r="G328" s="1" t="s">
        <v>1501</v>
      </c>
      <c r="H328" s="5" t="s">
        <v>293</v>
      </c>
      <c r="I328" s="5" t="s">
        <v>562</v>
      </c>
      <c r="J328" s="5" t="s">
        <v>798</v>
      </c>
    </row>
    <row r="329">
      <c r="A329" s="1" t="s">
        <v>1502</v>
      </c>
      <c r="B329" s="5" t="s">
        <v>1503</v>
      </c>
      <c r="C329" s="5" t="s">
        <v>76</v>
      </c>
      <c r="D329" s="5" t="s">
        <v>1504</v>
      </c>
      <c r="E329" s="36">
        <v>37501.0</v>
      </c>
      <c r="F329" s="5">
        <v>6.289678095895E12</v>
      </c>
      <c r="G329" s="1" t="s">
        <v>1505</v>
      </c>
      <c r="H329" s="5" t="s">
        <v>544</v>
      </c>
      <c r="I329" s="5" t="s">
        <v>57</v>
      </c>
      <c r="J329" s="5" t="s">
        <v>294</v>
      </c>
      <c r="K329" s="5" t="s">
        <v>539</v>
      </c>
      <c r="L329" s="5" t="s">
        <v>540</v>
      </c>
    </row>
    <row r="330">
      <c r="A330" s="1" t="s">
        <v>1506</v>
      </c>
      <c r="B330" s="5" t="s">
        <v>1507</v>
      </c>
      <c r="C330" s="5" t="s">
        <v>76</v>
      </c>
      <c r="D330" s="5" t="s">
        <v>1508</v>
      </c>
      <c r="E330" s="36">
        <v>37970.0</v>
      </c>
      <c r="F330" s="5">
        <v>6.282340978287E12</v>
      </c>
      <c r="G330" s="1" t="s">
        <v>1509</v>
      </c>
      <c r="H330" s="5" t="s">
        <v>544</v>
      </c>
      <c r="I330" s="5" t="s">
        <v>57</v>
      </c>
      <c r="J330" s="5" t="s">
        <v>1510</v>
      </c>
      <c r="K330" s="5" t="s">
        <v>523</v>
      </c>
      <c r="L330" s="5" t="s">
        <v>577</v>
      </c>
    </row>
    <row r="331">
      <c r="A331" s="1" t="s">
        <v>1511</v>
      </c>
      <c r="B331" s="5" t="s">
        <v>1512</v>
      </c>
      <c r="C331" s="5" t="s">
        <v>53</v>
      </c>
      <c r="D331" s="5" t="s">
        <v>1513</v>
      </c>
      <c r="E331" s="36">
        <v>37306.0</v>
      </c>
      <c r="F331" s="5">
        <v>6.287758840414E12</v>
      </c>
      <c r="G331" s="1" t="s">
        <v>1514</v>
      </c>
      <c r="H331" s="5" t="s">
        <v>544</v>
      </c>
      <c r="I331" s="5" t="s">
        <v>57</v>
      </c>
      <c r="J331" s="5" t="s">
        <v>666</v>
      </c>
      <c r="K331" s="5" t="s">
        <v>697</v>
      </c>
      <c r="L331" s="5" t="s">
        <v>697</v>
      </c>
    </row>
    <row r="332">
      <c r="A332" s="1" t="s">
        <v>1515</v>
      </c>
      <c r="B332" s="5" t="s">
        <v>1516</v>
      </c>
      <c r="C332" s="5" t="s">
        <v>53</v>
      </c>
      <c r="D332" s="5" t="s">
        <v>472</v>
      </c>
      <c r="E332" s="36">
        <v>37387.0</v>
      </c>
      <c r="F332" s="5">
        <v>6.2895705458597E13</v>
      </c>
      <c r="G332" s="1" t="s">
        <v>1517</v>
      </c>
      <c r="H332" s="5" t="s">
        <v>544</v>
      </c>
      <c r="I332" s="5" t="s">
        <v>57</v>
      </c>
      <c r="J332" s="5" t="s">
        <v>1137</v>
      </c>
      <c r="K332" s="5" t="s">
        <v>1138</v>
      </c>
      <c r="L332" s="5" t="s">
        <v>592</v>
      </c>
    </row>
    <row r="333">
      <c r="A333" s="1" t="s">
        <v>1518</v>
      </c>
      <c r="B333" s="5" t="s">
        <v>1519</v>
      </c>
      <c r="C333" s="5" t="s">
        <v>53</v>
      </c>
      <c r="D333" s="5" t="s">
        <v>1054</v>
      </c>
      <c r="E333" s="36">
        <v>37732.0</v>
      </c>
      <c r="F333" s="5">
        <v>6.285865186206E12</v>
      </c>
      <c r="G333" s="1" t="s">
        <v>1520</v>
      </c>
      <c r="H333" s="5" t="s">
        <v>544</v>
      </c>
      <c r="I333" s="5" t="s">
        <v>57</v>
      </c>
      <c r="J333" s="5" t="s">
        <v>517</v>
      </c>
      <c r="K333" s="5" t="s">
        <v>500</v>
      </c>
      <c r="L333" s="5" t="s">
        <v>1521</v>
      </c>
    </row>
    <row r="334">
      <c r="A334" s="1" t="s">
        <v>1522</v>
      </c>
      <c r="B334" s="5" t="s">
        <v>1523</v>
      </c>
      <c r="C334" s="5" t="s">
        <v>53</v>
      </c>
      <c r="D334" s="3" t="s">
        <v>1524</v>
      </c>
      <c r="E334" s="36">
        <v>37919.0</v>
      </c>
      <c r="F334" s="5">
        <v>6.289627672567E12</v>
      </c>
      <c r="G334" s="1" t="s">
        <v>1525</v>
      </c>
      <c r="H334" s="5" t="s">
        <v>544</v>
      </c>
      <c r="I334" s="5" t="s">
        <v>57</v>
      </c>
      <c r="J334" s="5" t="s">
        <v>482</v>
      </c>
      <c r="K334" s="5" t="s">
        <v>842</v>
      </c>
      <c r="L334" s="5" t="s">
        <v>859</v>
      </c>
    </row>
    <row r="335">
      <c r="A335" s="1" t="s">
        <v>1526</v>
      </c>
      <c r="B335" s="5" t="s">
        <v>1527</v>
      </c>
      <c r="C335" s="5" t="s">
        <v>53</v>
      </c>
      <c r="D335" s="5" t="s">
        <v>1528</v>
      </c>
      <c r="E335" s="36">
        <v>37892.0</v>
      </c>
      <c r="F335" s="5">
        <v>6.282210399026E12</v>
      </c>
      <c r="G335" s="1" t="s">
        <v>1529</v>
      </c>
      <c r="H335" s="5" t="s">
        <v>544</v>
      </c>
      <c r="I335" s="5" t="s">
        <v>57</v>
      </c>
      <c r="J335" s="5" t="s">
        <v>238</v>
      </c>
      <c r="K335" s="5" t="s">
        <v>848</v>
      </c>
      <c r="L335" s="5" t="s">
        <v>1530</v>
      </c>
    </row>
    <row r="336">
      <c r="A336" s="1" t="s">
        <v>1531</v>
      </c>
      <c r="B336" s="5" t="s">
        <v>1532</v>
      </c>
      <c r="C336" s="5" t="s">
        <v>76</v>
      </c>
      <c r="D336" s="5" t="s">
        <v>1533</v>
      </c>
      <c r="E336" s="36">
        <v>37317.0</v>
      </c>
      <c r="F336" s="5">
        <v>6.285711233164E12</v>
      </c>
      <c r="G336" s="1" t="s">
        <v>1534</v>
      </c>
      <c r="H336" s="5" t="s">
        <v>474</v>
      </c>
      <c r="I336" s="5" t="s">
        <v>57</v>
      </c>
      <c r="J336" s="5" t="s">
        <v>996</v>
      </c>
      <c r="K336" s="5" t="s">
        <v>529</v>
      </c>
      <c r="L336" s="5" t="s">
        <v>1535</v>
      </c>
    </row>
    <row r="337">
      <c r="A337" s="1" t="s">
        <v>1536</v>
      </c>
      <c r="B337" s="5" t="s">
        <v>1537</v>
      </c>
      <c r="C337" s="5" t="s">
        <v>53</v>
      </c>
      <c r="D337" s="5" t="s">
        <v>472</v>
      </c>
      <c r="E337" s="36">
        <v>37738.0</v>
      </c>
      <c r="F337" s="5">
        <v>6.285728123372E12</v>
      </c>
      <c r="G337" s="1" t="s">
        <v>1538</v>
      </c>
      <c r="H337" s="5" t="s">
        <v>544</v>
      </c>
      <c r="I337" s="5" t="s">
        <v>57</v>
      </c>
      <c r="J337" s="5" t="s">
        <v>813</v>
      </c>
      <c r="K337" s="5" t="s">
        <v>530</v>
      </c>
      <c r="L337" s="5" t="s">
        <v>692</v>
      </c>
    </row>
    <row r="338">
      <c r="A338" s="1" t="s">
        <v>1539</v>
      </c>
      <c r="B338" s="5" t="s">
        <v>1540</v>
      </c>
      <c r="C338" s="5" t="s">
        <v>76</v>
      </c>
      <c r="D338" s="5" t="s">
        <v>479</v>
      </c>
      <c r="E338" s="36">
        <v>36261.0</v>
      </c>
      <c r="F338" s="5">
        <v>6.28589241852E12</v>
      </c>
      <c r="G338" s="1" t="s">
        <v>1541</v>
      </c>
      <c r="H338" s="5" t="s">
        <v>516</v>
      </c>
      <c r="I338" s="5" t="s">
        <v>57</v>
      </c>
      <c r="J338" s="5" t="s">
        <v>847</v>
      </c>
      <c r="K338" s="5" t="s">
        <v>1542</v>
      </c>
      <c r="L338" s="5" t="s">
        <v>883</v>
      </c>
    </row>
    <row r="339">
      <c r="A339" s="1" t="s">
        <v>1543</v>
      </c>
      <c r="B339" s="5" t="s">
        <v>1544</v>
      </c>
      <c r="C339" s="5" t="s">
        <v>53</v>
      </c>
      <c r="D339" s="5" t="s">
        <v>1545</v>
      </c>
      <c r="E339" s="36">
        <v>37834.0</v>
      </c>
      <c r="F339" s="5">
        <v>6.281902854227E12</v>
      </c>
      <c r="G339" s="1" t="s">
        <v>1546</v>
      </c>
      <c r="H339" s="5" t="s">
        <v>544</v>
      </c>
      <c r="I339" s="5" t="s">
        <v>57</v>
      </c>
      <c r="J339" s="5" t="s">
        <v>385</v>
      </c>
      <c r="K339" s="5" t="s">
        <v>529</v>
      </c>
      <c r="L339" s="5" t="s">
        <v>817</v>
      </c>
    </row>
    <row r="340">
      <c r="A340" s="1" t="s">
        <v>1547</v>
      </c>
      <c r="B340" s="5" t="s">
        <v>1548</v>
      </c>
      <c r="C340" s="5" t="s">
        <v>76</v>
      </c>
      <c r="D340" s="5" t="s">
        <v>724</v>
      </c>
      <c r="E340" s="36">
        <v>37879.0</v>
      </c>
      <c r="F340" s="5">
        <v>6.281345773361E12</v>
      </c>
      <c r="G340" s="1" t="s">
        <v>1549</v>
      </c>
      <c r="H340" s="5" t="s">
        <v>544</v>
      </c>
      <c r="I340" s="5" t="s">
        <v>57</v>
      </c>
      <c r="J340" s="5" t="s">
        <v>482</v>
      </c>
      <c r="K340" s="5" t="s">
        <v>529</v>
      </c>
      <c r="L340" s="5" t="s">
        <v>692</v>
      </c>
    </row>
    <row r="341">
      <c r="A341" s="1" t="s">
        <v>1550</v>
      </c>
      <c r="B341" s="5" t="s">
        <v>1551</v>
      </c>
      <c r="C341" s="5" t="s">
        <v>53</v>
      </c>
      <c r="D341" s="5" t="s">
        <v>710</v>
      </c>
      <c r="E341" s="36">
        <v>37625.0</v>
      </c>
      <c r="F341" s="5">
        <v>6.287816366209E12</v>
      </c>
      <c r="G341" s="1" t="s">
        <v>1552</v>
      </c>
      <c r="H341" s="5" t="s">
        <v>544</v>
      </c>
      <c r="I341" s="5" t="s">
        <v>57</v>
      </c>
      <c r="J341" s="5" t="s">
        <v>712</v>
      </c>
      <c r="K341" s="5" t="s">
        <v>500</v>
      </c>
      <c r="L341" s="5" t="s">
        <v>653</v>
      </c>
    </row>
    <row r="342">
      <c r="A342" s="1" t="s">
        <v>1553</v>
      </c>
      <c r="B342" s="5" t="s">
        <v>1554</v>
      </c>
      <c r="C342" s="5" t="s">
        <v>76</v>
      </c>
      <c r="D342" s="3" t="s">
        <v>618</v>
      </c>
      <c r="E342" s="36">
        <v>37801.0</v>
      </c>
      <c r="F342" s="5">
        <v>6.282231847347E12</v>
      </c>
      <c r="G342" s="1" t="s">
        <v>1555</v>
      </c>
      <c r="H342" s="5" t="s">
        <v>544</v>
      </c>
      <c r="I342" s="5" t="s">
        <v>57</v>
      </c>
      <c r="J342" s="5" t="s">
        <v>847</v>
      </c>
      <c r="K342" s="5" t="s">
        <v>539</v>
      </c>
      <c r="L342" s="5" t="s">
        <v>540</v>
      </c>
    </row>
    <row r="343">
      <c r="A343" s="1" t="s">
        <v>1556</v>
      </c>
      <c r="B343" s="5" t="s">
        <v>1557</v>
      </c>
      <c r="C343" s="5" t="s">
        <v>76</v>
      </c>
      <c r="D343" s="5" t="s">
        <v>1415</v>
      </c>
      <c r="E343" s="36">
        <v>38081.0</v>
      </c>
      <c r="F343" s="5">
        <v>6.285184575626E12</v>
      </c>
      <c r="G343" s="1" t="s">
        <v>1558</v>
      </c>
      <c r="H343" s="5" t="s">
        <v>544</v>
      </c>
      <c r="I343" s="5" t="s">
        <v>57</v>
      </c>
      <c r="J343" s="5" t="s">
        <v>772</v>
      </c>
      <c r="K343" s="5" t="s">
        <v>539</v>
      </c>
      <c r="L343" s="5" t="s">
        <v>1559</v>
      </c>
    </row>
    <row r="344">
      <c r="A344" s="1" t="s">
        <v>1560</v>
      </c>
      <c r="B344" s="5" t="s">
        <v>1561</v>
      </c>
      <c r="C344" s="5" t="s">
        <v>76</v>
      </c>
      <c r="D344" s="5" t="s">
        <v>472</v>
      </c>
      <c r="E344" s="35">
        <v>32934.0</v>
      </c>
      <c r="F344" s="5">
        <v>6.285602702602E12</v>
      </c>
      <c r="G344" s="1" t="s">
        <v>1562</v>
      </c>
      <c r="H344" s="5" t="s">
        <v>1032</v>
      </c>
      <c r="I344" s="5" t="s">
        <v>57</v>
      </c>
      <c r="J344" s="5" t="s">
        <v>1425</v>
      </c>
    </row>
    <row r="345">
      <c r="A345" s="1" t="s">
        <v>1563</v>
      </c>
      <c r="B345" s="5" t="s">
        <v>1564</v>
      </c>
      <c r="C345" s="5" t="s">
        <v>76</v>
      </c>
      <c r="D345" s="5" t="s">
        <v>633</v>
      </c>
      <c r="E345" s="35">
        <v>32167.0</v>
      </c>
      <c r="F345" s="5">
        <v>6.281226886101E12</v>
      </c>
      <c r="G345" s="1" t="s">
        <v>1565</v>
      </c>
      <c r="H345" s="5" t="s">
        <v>1448</v>
      </c>
      <c r="I345" s="5" t="s">
        <v>57</v>
      </c>
      <c r="J345" s="5" t="s">
        <v>952</v>
      </c>
    </row>
    <row r="346">
      <c r="A346" s="1" t="s">
        <v>1566</v>
      </c>
      <c r="B346" s="5" t="s">
        <v>1567</v>
      </c>
      <c r="C346" s="5" t="s">
        <v>53</v>
      </c>
      <c r="D346" s="5" t="s">
        <v>537</v>
      </c>
      <c r="E346" s="35">
        <v>37195.0</v>
      </c>
      <c r="F346" s="5">
        <v>6.289529141595E12</v>
      </c>
      <c r="G346" s="1" t="s">
        <v>1568</v>
      </c>
      <c r="H346" s="5" t="s">
        <v>474</v>
      </c>
      <c r="I346" s="5" t="s">
        <v>57</v>
      </c>
      <c r="J346" s="5" t="s">
        <v>1205</v>
      </c>
    </row>
    <row r="347">
      <c r="A347" s="1" t="s">
        <v>1569</v>
      </c>
      <c r="B347" s="5" t="s">
        <v>1570</v>
      </c>
      <c r="C347" s="5" t="s">
        <v>53</v>
      </c>
      <c r="D347" s="5" t="s">
        <v>781</v>
      </c>
      <c r="E347" s="36">
        <v>37344.0</v>
      </c>
      <c r="F347" s="5">
        <v>6.281226800596E12</v>
      </c>
      <c r="G347" s="1" t="s">
        <v>1571</v>
      </c>
      <c r="H347" s="5" t="s">
        <v>544</v>
      </c>
      <c r="I347" s="5" t="s">
        <v>57</v>
      </c>
      <c r="J347" s="5" t="s">
        <v>517</v>
      </c>
      <c r="K347" s="5" t="s">
        <v>523</v>
      </c>
      <c r="L347" s="5" t="s">
        <v>1572</v>
      </c>
    </row>
    <row r="348">
      <c r="A348" s="1" t="s">
        <v>1573</v>
      </c>
      <c r="B348" s="5" t="s">
        <v>1574</v>
      </c>
      <c r="C348" s="5" t="s">
        <v>53</v>
      </c>
      <c r="D348" s="5" t="s">
        <v>741</v>
      </c>
      <c r="E348" s="36">
        <v>37664.0</v>
      </c>
      <c r="F348" s="5">
        <v>6.2085156173236E13</v>
      </c>
      <c r="G348" s="1" t="s">
        <v>1575</v>
      </c>
      <c r="H348" s="5" t="s">
        <v>544</v>
      </c>
      <c r="I348" s="5" t="s">
        <v>57</v>
      </c>
      <c r="J348" s="5" t="s">
        <v>1060</v>
      </c>
      <c r="K348" s="5" t="s">
        <v>1576</v>
      </c>
      <c r="L348" s="5" t="s">
        <v>1577</v>
      </c>
    </row>
    <row r="349">
      <c r="A349" s="1" t="s">
        <v>1578</v>
      </c>
      <c r="B349" s="5" t="s">
        <v>1579</v>
      </c>
      <c r="C349" s="5" t="s">
        <v>76</v>
      </c>
      <c r="D349" s="5" t="s">
        <v>537</v>
      </c>
      <c r="E349" s="35">
        <v>37477.0</v>
      </c>
      <c r="F349" s="5">
        <v>6.287883217959E12</v>
      </c>
      <c r="G349" s="1" t="s">
        <v>1580</v>
      </c>
      <c r="H349" s="5" t="s">
        <v>474</v>
      </c>
      <c r="I349" s="5" t="s">
        <v>57</v>
      </c>
      <c r="J349" s="5" t="s">
        <v>576</v>
      </c>
    </row>
    <row r="350">
      <c r="A350" s="1" t="s">
        <v>1581</v>
      </c>
      <c r="B350" s="5" t="s">
        <v>1582</v>
      </c>
      <c r="C350" s="5" t="s">
        <v>76</v>
      </c>
      <c r="D350" s="5" t="s">
        <v>770</v>
      </c>
      <c r="E350" s="35">
        <v>37580.0</v>
      </c>
      <c r="F350" s="5">
        <v>6.285739852198E12</v>
      </c>
      <c r="G350" s="1" t="s">
        <v>1583</v>
      </c>
      <c r="H350" s="5" t="s">
        <v>474</v>
      </c>
      <c r="I350" s="5" t="s">
        <v>57</v>
      </c>
      <c r="J350" s="5" t="s">
        <v>772</v>
      </c>
    </row>
    <row r="351">
      <c r="A351" s="1" t="s">
        <v>1584</v>
      </c>
      <c r="B351" s="5" t="s">
        <v>1585</v>
      </c>
      <c r="C351" s="5" t="s">
        <v>76</v>
      </c>
      <c r="D351" s="5" t="s">
        <v>1586</v>
      </c>
      <c r="E351" s="36">
        <v>37771.0</v>
      </c>
      <c r="F351" s="5">
        <v>6.285156931239E12</v>
      </c>
      <c r="G351" s="1" t="s">
        <v>1587</v>
      </c>
      <c r="H351" s="5" t="s">
        <v>544</v>
      </c>
      <c r="I351" s="5" t="s">
        <v>562</v>
      </c>
      <c r="J351" s="5" t="s">
        <v>563</v>
      </c>
      <c r="K351" s="5" t="s">
        <v>799</v>
      </c>
      <c r="L351" s="5" t="s">
        <v>1588</v>
      </c>
    </row>
    <row r="352">
      <c r="A352" s="1" t="s">
        <v>1589</v>
      </c>
      <c r="B352" s="5" t="s">
        <v>1590</v>
      </c>
      <c r="C352" s="5" t="s">
        <v>76</v>
      </c>
      <c r="D352" s="5" t="s">
        <v>1591</v>
      </c>
      <c r="E352" s="36">
        <v>37535.0</v>
      </c>
      <c r="F352" s="5">
        <v>6.288224192404E12</v>
      </c>
      <c r="G352" s="1" t="s">
        <v>1592</v>
      </c>
      <c r="H352" s="5" t="s">
        <v>544</v>
      </c>
      <c r="I352" s="5" t="s">
        <v>57</v>
      </c>
      <c r="J352" s="5" t="s">
        <v>984</v>
      </c>
      <c r="K352" s="5" t="s">
        <v>842</v>
      </c>
      <c r="L352" s="5" t="s">
        <v>1593</v>
      </c>
    </row>
    <row r="353">
      <c r="A353" s="1" t="s">
        <v>1594</v>
      </c>
      <c r="B353" s="5" t="s">
        <v>1595</v>
      </c>
      <c r="C353" s="5" t="s">
        <v>76</v>
      </c>
      <c r="D353" s="5" t="s">
        <v>1596</v>
      </c>
      <c r="E353" s="36">
        <v>37466.0</v>
      </c>
      <c r="F353" s="5">
        <v>6.285810303825E12</v>
      </c>
      <c r="G353" s="1" t="s">
        <v>1597</v>
      </c>
      <c r="H353" s="5" t="s">
        <v>474</v>
      </c>
      <c r="I353" s="5" t="s">
        <v>57</v>
      </c>
      <c r="J353" s="5" t="s">
        <v>1598</v>
      </c>
      <c r="K353" s="5" t="s">
        <v>529</v>
      </c>
      <c r="L353" s="5" t="s">
        <v>1599</v>
      </c>
    </row>
    <row r="354">
      <c r="A354" s="1" t="s">
        <v>1600</v>
      </c>
      <c r="B354" s="5" t="s">
        <v>1601</v>
      </c>
      <c r="C354" s="5" t="s">
        <v>76</v>
      </c>
      <c r="D354" s="5" t="s">
        <v>1591</v>
      </c>
      <c r="E354" s="36">
        <v>37392.0</v>
      </c>
      <c r="F354" s="5">
        <v>6.289618500951E12</v>
      </c>
      <c r="G354" s="1" t="s">
        <v>1602</v>
      </c>
      <c r="H354" s="5" t="s">
        <v>544</v>
      </c>
      <c r="I354" s="5" t="s">
        <v>57</v>
      </c>
      <c r="J354" s="5" t="s">
        <v>511</v>
      </c>
      <c r="K354" s="5" t="s">
        <v>1426</v>
      </c>
      <c r="L354" s="5" t="s">
        <v>1603</v>
      </c>
    </row>
    <row r="355">
      <c r="A355" s="1" t="s">
        <v>1604</v>
      </c>
      <c r="B355" s="5" t="s">
        <v>1605</v>
      </c>
      <c r="C355" s="5" t="s">
        <v>53</v>
      </c>
      <c r="D355" s="5" t="s">
        <v>1606</v>
      </c>
      <c r="E355" s="36">
        <v>37635.0</v>
      </c>
      <c r="F355" s="5">
        <v>6.28583414777E12</v>
      </c>
      <c r="G355" s="1" t="s">
        <v>1607</v>
      </c>
      <c r="H355" s="5" t="s">
        <v>544</v>
      </c>
      <c r="I355" s="5" t="s">
        <v>57</v>
      </c>
      <c r="J355" s="5" t="s">
        <v>1510</v>
      </c>
      <c r="K355" s="5" t="s">
        <v>500</v>
      </c>
      <c r="L355" s="5" t="s">
        <v>644</v>
      </c>
    </row>
    <row r="356">
      <c r="A356" s="1" t="s">
        <v>1608</v>
      </c>
      <c r="B356" s="5" t="s">
        <v>1609</v>
      </c>
      <c r="C356" s="5" t="s">
        <v>76</v>
      </c>
      <c r="D356" s="5" t="s">
        <v>1610</v>
      </c>
      <c r="E356" s="35">
        <v>35439.0</v>
      </c>
      <c r="F356" s="5">
        <v>6.282320807646E12</v>
      </c>
      <c r="G356" s="1" t="s">
        <v>1611</v>
      </c>
      <c r="H356" s="5" t="s">
        <v>308</v>
      </c>
      <c r="I356" s="5" t="s">
        <v>57</v>
      </c>
      <c r="J356" s="5" t="s">
        <v>991</v>
      </c>
    </row>
    <row r="357">
      <c r="A357" s="1" t="s">
        <v>1612</v>
      </c>
      <c r="B357" s="5" t="s">
        <v>1613</v>
      </c>
      <c r="C357" s="5" t="s">
        <v>53</v>
      </c>
      <c r="D357" s="5" t="s">
        <v>1614</v>
      </c>
      <c r="E357" s="36">
        <v>38279.0</v>
      </c>
      <c r="F357" s="5">
        <v>6.28216244753E12</v>
      </c>
      <c r="G357" s="1" t="s">
        <v>1615</v>
      </c>
      <c r="H357" s="5" t="s">
        <v>544</v>
      </c>
      <c r="I357" s="5" t="s">
        <v>57</v>
      </c>
      <c r="J357" s="5" t="s">
        <v>1044</v>
      </c>
      <c r="K357" s="5" t="s">
        <v>848</v>
      </c>
      <c r="L357" s="5" t="s">
        <v>849</v>
      </c>
    </row>
    <row r="358">
      <c r="A358" s="1" t="s">
        <v>1616</v>
      </c>
      <c r="B358" s="5" t="s">
        <v>1617</v>
      </c>
      <c r="C358" s="5" t="s">
        <v>53</v>
      </c>
      <c r="D358" s="5" t="s">
        <v>1618</v>
      </c>
      <c r="E358" s="36">
        <v>37181.0</v>
      </c>
      <c r="F358" s="5">
        <v>6.28135903372E12</v>
      </c>
      <c r="G358" s="1" t="s">
        <v>1619</v>
      </c>
      <c r="H358" s="5" t="s">
        <v>544</v>
      </c>
      <c r="I358" s="5" t="s">
        <v>57</v>
      </c>
      <c r="J358" s="5" t="s">
        <v>772</v>
      </c>
      <c r="K358" s="5" t="s">
        <v>848</v>
      </c>
      <c r="L358" s="5" t="s">
        <v>849</v>
      </c>
    </row>
    <row r="359">
      <c r="A359" s="1" t="s">
        <v>1620</v>
      </c>
      <c r="B359" s="5" t="s">
        <v>1621</v>
      </c>
      <c r="C359" s="5" t="s">
        <v>76</v>
      </c>
      <c r="D359" s="5" t="s">
        <v>994</v>
      </c>
      <c r="E359" s="36">
        <v>37859.0</v>
      </c>
      <c r="F359" s="5">
        <v>6.281333324191E12</v>
      </c>
      <c r="G359" s="1" t="s">
        <v>1622</v>
      </c>
      <c r="H359" s="5" t="s">
        <v>544</v>
      </c>
      <c r="I359" s="5" t="s">
        <v>562</v>
      </c>
      <c r="J359" s="5" t="s">
        <v>563</v>
      </c>
      <c r="K359" s="5" t="s">
        <v>529</v>
      </c>
      <c r="L359" s="5" t="s">
        <v>677</v>
      </c>
    </row>
    <row r="360">
      <c r="A360" s="1" t="s">
        <v>1623</v>
      </c>
      <c r="B360" s="5" t="s">
        <v>1624</v>
      </c>
      <c r="C360" s="5" t="s">
        <v>76</v>
      </c>
      <c r="D360" s="5" t="s">
        <v>533</v>
      </c>
      <c r="E360" s="36">
        <v>37762.0</v>
      </c>
      <c r="F360" s="5">
        <v>6.81254207645E11</v>
      </c>
      <c r="G360" s="1" t="s">
        <v>1625</v>
      </c>
      <c r="H360" s="5" t="s">
        <v>544</v>
      </c>
      <c r="I360" s="5" t="s">
        <v>57</v>
      </c>
      <c r="J360" s="5" t="s">
        <v>772</v>
      </c>
      <c r="K360" s="5" t="s">
        <v>1626</v>
      </c>
      <c r="L360" s="5" t="s">
        <v>1627</v>
      </c>
    </row>
    <row r="361">
      <c r="A361" s="1" t="s">
        <v>1628</v>
      </c>
      <c r="B361" s="5" t="s">
        <v>1629</v>
      </c>
      <c r="C361" s="5" t="s">
        <v>53</v>
      </c>
      <c r="D361" s="5" t="s">
        <v>1371</v>
      </c>
      <c r="E361" s="36">
        <v>37734.0</v>
      </c>
      <c r="F361" s="5">
        <v>6.2895612492593E13</v>
      </c>
      <c r="G361" s="1" t="s">
        <v>1630</v>
      </c>
      <c r="H361" s="5" t="s">
        <v>544</v>
      </c>
      <c r="I361" s="5" t="s">
        <v>57</v>
      </c>
      <c r="J361" s="5" t="s">
        <v>1044</v>
      </c>
      <c r="K361" s="5" t="s">
        <v>539</v>
      </c>
      <c r="L361" s="5" t="s">
        <v>540</v>
      </c>
    </row>
    <row r="362">
      <c r="A362" s="1" t="s">
        <v>1631</v>
      </c>
      <c r="B362" s="5" t="s">
        <v>1632</v>
      </c>
      <c r="C362" s="5" t="s">
        <v>76</v>
      </c>
      <c r="D362" s="5" t="s">
        <v>1633</v>
      </c>
      <c r="E362" s="36">
        <v>37499.0</v>
      </c>
      <c r="F362" s="5">
        <v>6.282175938129E12</v>
      </c>
      <c r="G362" s="1" t="s">
        <v>1634</v>
      </c>
      <c r="H362" s="5" t="s">
        <v>544</v>
      </c>
      <c r="I362" s="5" t="s">
        <v>57</v>
      </c>
      <c r="J362" s="5" t="s">
        <v>772</v>
      </c>
      <c r="K362" s="5" t="s">
        <v>1626</v>
      </c>
      <c r="L362" s="5" t="s">
        <v>1626</v>
      </c>
    </row>
    <row r="363">
      <c r="A363" s="1" t="s">
        <v>1635</v>
      </c>
      <c r="B363" s="5" t="s">
        <v>1636</v>
      </c>
      <c r="C363" s="5" t="s">
        <v>76</v>
      </c>
      <c r="D363" s="5" t="s">
        <v>537</v>
      </c>
      <c r="E363" s="36">
        <v>37692.0</v>
      </c>
      <c r="F363" s="5">
        <v>6.282210537468E12</v>
      </c>
      <c r="G363" s="1" t="s">
        <v>1637</v>
      </c>
      <c r="H363" s="5" t="s">
        <v>544</v>
      </c>
      <c r="I363" s="5" t="s">
        <v>57</v>
      </c>
      <c r="J363" s="5" t="s">
        <v>248</v>
      </c>
      <c r="K363" s="5" t="s">
        <v>539</v>
      </c>
      <c r="L363" s="5" t="s">
        <v>799</v>
      </c>
    </row>
    <row r="364">
      <c r="A364" s="1" t="s">
        <v>1638</v>
      </c>
      <c r="B364" s="5" t="s">
        <v>1639</v>
      </c>
      <c r="C364" s="5" t="s">
        <v>76</v>
      </c>
      <c r="D364" s="5" t="s">
        <v>537</v>
      </c>
      <c r="E364" s="36">
        <v>37944.0</v>
      </c>
      <c r="F364" s="5">
        <v>6.281213004236E12</v>
      </c>
      <c r="G364" s="1" t="s">
        <v>1640</v>
      </c>
      <c r="H364" s="5" t="s">
        <v>544</v>
      </c>
      <c r="I364" s="5" t="s">
        <v>57</v>
      </c>
      <c r="J364" s="5" t="s">
        <v>923</v>
      </c>
      <c r="K364" s="5" t="s">
        <v>1641</v>
      </c>
      <c r="L364" s="5" t="s">
        <v>1642</v>
      </c>
    </row>
    <row r="365">
      <c r="A365" s="1" t="s">
        <v>1643</v>
      </c>
      <c r="B365" s="5" t="s">
        <v>1644</v>
      </c>
      <c r="C365" s="5" t="s">
        <v>76</v>
      </c>
      <c r="D365" s="5" t="s">
        <v>1340</v>
      </c>
      <c r="E365" s="35">
        <v>45516.0</v>
      </c>
      <c r="F365" s="5">
        <v>6.283147548415E12</v>
      </c>
      <c r="G365" s="1" t="s">
        <v>1645</v>
      </c>
      <c r="H365" s="5" t="s">
        <v>293</v>
      </c>
      <c r="I365" s="5" t="s">
        <v>57</v>
      </c>
      <c r="J365" s="5" t="s">
        <v>1205</v>
      </c>
    </row>
    <row r="366">
      <c r="A366" s="1" t="s">
        <v>1646</v>
      </c>
      <c r="B366" s="5" t="s">
        <v>1647</v>
      </c>
      <c r="C366" s="5" t="s">
        <v>76</v>
      </c>
      <c r="D366" s="5" t="s">
        <v>1648</v>
      </c>
      <c r="E366" s="36">
        <v>37719.0</v>
      </c>
      <c r="F366" s="5">
        <v>6.28121669203E12</v>
      </c>
      <c r="G366" s="1" t="s">
        <v>1649</v>
      </c>
      <c r="H366" s="5" t="s">
        <v>544</v>
      </c>
      <c r="I366" s="5" t="s">
        <v>57</v>
      </c>
      <c r="J366" s="5" t="s">
        <v>511</v>
      </c>
      <c r="K366" s="5" t="s">
        <v>1650</v>
      </c>
      <c r="L366" s="5" t="s">
        <v>1651</v>
      </c>
    </row>
    <row r="367">
      <c r="A367" s="1" t="s">
        <v>1652</v>
      </c>
      <c r="B367" s="5" t="s">
        <v>1653</v>
      </c>
      <c r="C367" s="5" t="s">
        <v>76</v>
      </c>
      <c r="D367" s="5" t="s">
        <v>271</v>
      </c>
      <c r="E367" s="36">
        <v>37703.0</v>
      </c>
      <c r="F367" s="5">
        <v>6.281932021777E12</v>
      </c>
      <c r="G367" s="1" t="s">
        <v>1654</v>
      </c>
      <c r="H367" s="5" t="s">
        <v>544</v>
      </c>
      <c r="I367" s="5" t="s">
        <v>57</v>
      </c>
      <c r="J367" s="5" t="s">
        <v>590</v>
      </c>
      <c r="K367" s="5" t="s">
        <v>539</v>
      </c>
      <c r="L367" s="5" t="s">
        <v>799</v>
      </c>
    </row>
    <row r="368">
      <c r="A368" s="1" t="s">
        <v>1655</v>
      </c>
      <c r="B368" s="5" t="s">
        <v>1656</v>
      </c>
      <c r="C368" s="5" t="s">
        <v>53</v>
      </c>
      <c r="D368" s="5" t="s">
        <v>770</v>
      </c>
      <c r="E368" s="36">
        <v>37702.0</v>
      </c>
      <c r="F368" s="5">
        <v>6.281238115238E12</v>
      </c>
      <c r="G368" s="1" t="s">
        <v>1657</v>
      </c>
      <c r="H368" s="5" t="s">
        <v>544</v>
      </c>
      <c r="I368" s="5" t="s">
        <v>57</v>
      </c>
      <c r="J368" s="5" t="s">
        <v>506</v>
      </c>
      <c r="K368" s="5" t="s">
        <v>848</v>
      </c>
      <c r="L368" s="5" t="s">
        <v>849</v>
      </c>
    </row>
    <row r="369">
      <c r="A369" s="1" t="s">
        <v>1658</v>
      </c>
      <c r="B369" s="5" t="s">
        <v>1659</v>
      </c>
      <c r="C369" s="5" t="s">
        <v>76</v>
      </c>
      <c r="D369" s="5" t="s">
        <v>1660</v>
      </c>
      <c r="E369" s="36">
        <v>37271.0</v>
      </c>
      <c r="F369" s="5">
        <v>6.381211503515E12</v>
      </c>
      <c r="G369" s="1" t="s">
        <v>1661</v>
      </c>
      <c r="H369" s="5" t="s">
        <v>544</v>
      </c>
      <c r="I369" s="5" t="s">
        <v>57</v>
      </c>
      <c r="J369" s="5" t="s">
        <v>1662</v>
      </c>
      <c r="K369" s="5" t="s">
        <v>910</v>
      </c>
      <c r="L369" s="5" t="s">
        <v>1663</v>
      </c>
    </row>
    <row r="370">
      <c r="A370" s="1" t="s">
        <v>1664</v>
      </c>
      <c r="B370" s="5" t="s">
        <v>1665</v>
      </c>
      <c r="C370" s="5" t="s">
        <v>53</v>
      </c>
      <c r="D370" s="5" t="s">
        <v>869</v>
      </c>
      <c r="E370" s="36">
        <v>36970.0</v>
      </c>
      <c r="F370" s="5">
        <v>6.288223935667E12</v>
      </c>
      <c r="G370" s="1" t="s">
        <v>1666</v>
      </c>
      <c r="H370" s="5" t="s">
        <v>544</v>
      </c>
      <c r="I370" s="5" t="s">
        <v>57</v>
      </c>
      <c r="J370" s="5" t="s">
        <v>682</v>
      </c>
      <c r="K370" s="5" t="s">
        <v>1138</v>
      </c>
      <c r="L370" s="5" t="s">
        <v>591</v>
      </c>
    </row>
    <row r="371">
      <c r="A371" s="1" t="s">
        <v>1667</v>
      </c>
      <c r="B371" s="5" t="s">
        <v>1668</v>
      </c>
      <c r="C371" s="5" t="s">
        <v>53</v>
      </c>
      <c r="D371" s="5" t="s">
        <v>1669</v>
      </c>
      <c r="E371" s="36">
        <v>36990.0</v>
      </c>
      <c r="F371" s="5">
        <v>6.28239430822E12</v>
      </c>
      <c r="G371" s="1" t="s">
        <v>1670</v>
      </c>
      <c r="H371" s="5" t="s">
        <v>293</v>
      </c>
      <c r="I371" s="5" t="s">
        <v>57</v>
      </c>
      <c r="J371" s="5" t="s">
        <v>923</v>
      </c>
      <c r="K371" s="5" t="s">
        <v>1671</v>
      </c>
      <c r="L371" s="5" t="s">
        <v>1672</v>
      </c>
    </row>
    <row r="372">
      <c r="A372" s="1" t="s">
        <v>1673</v>
      </c>
      <c r="B372" s="5" t="s">
        <v>1674</v>
      </c>
      <c r="C372" s="5" t="s">
        <v>76</v>
      </c>
      <c r="D372" s="5" t="s">
        <v>1675</v>
      </c>
      <c r="E372" s="36">
        <v>37309.0</v>
      </c>
      <c r="F372" s="5">
        <v>6.285358202988E12</v>
      </c>
      <c r="G372" s="1" t="s">
        <v>1676</v>
      </c>
      <c r="H372" s="5" t="s">
        <v>544</v>
      </c>
      <c r="I372" s="5" t="s">
        <v>57</v>
      </c>
      <c r="J372" s="5" t="s">
        <v>1048</v>
      </c>
      <c r="K372" s="5" t="s">
        <v>1677</v>
      </c>
      <c r="L372" s="5" t="s">
        <v>1678</v>
      </c>
    </row>
    <row r="373">
      <c r="A373" s="1" t="s">
        <v>1679</v>
      </c>
      <c r="B373" s="5" t="s">
        <v>1680</v>
      </c>
      <c r="C373" s="5" t="s">
        <v>53</v>
      </c>
      <c r="D373" s="5" t="s">
        <v>497</v>
      </c>
      <c r="E373" s="36">
        <v>35930.0</v>
      </c>
      <c r="F373" s="5">
        <v>6.289636900987E12</v>
      </c>
      <c r="G373" s="1" t="s">
        <v>1681</v>
      </c>
      <c r="H373" s="5" t="s">
        <v>293</v>
      </c>
      <c r="I373" s="5" t="s">
        <v>57</v>
      </c>
      <c r="J373" s="5" t="s">
        <v>309</v>
      </c>
      <c r="K373" s="5" t="s">
        <v>910</v>
      </c>
      <c r="L373" s="5" t="s">
        <v>697</v>
      </c>
    </row>
    <row r="374">
      <c r="A374" s="1" t="s">
        <v>1682</v>
      </c>
      <c r="B374" s="5" t="s">
        <v>1683</v>
      </c>
      <c r="C374" s="5" t="s">
        <v>76</v>
      </c>
      <c r="D374" s="5" t="s">
        <v>908</v>
      </c>
      <c r="E374" s="35">
        <v>33984.0</v>
      </c>
      <c r="F374" s="5">
        <v>6.281369096553E12</v>
      </c>
      <c r="G374" s="1" t="s">
        <v>1684</v>
      </c>
      <c r="H374" s="5" t="s">
        <v>575</v>
      </c>
      <c r="I374" s="5" t="s">
        <v>57</v>
      </c>
      <c r="J374" s="5" t="s">
        <v>854</v>
      </c>
    </row>
    <row r="375">
      <c r="A375" s="1" t="s">
        <v>1685</v>
      </c>
      <c r="B375" s="5" t="s">
        <v>1686</v>
      </c>
      <c r="C375" s="5" t="s">
        <v>76</v>
      </c>
      <c r="D375" s="5" t="s">
        <v>537</v>
      </c>
      <c r="E375" s="36">
        <v>37676.0</v>
      </c>
      <c r="F375" s="5">
        <v>6.287784466825E12</v>
      </c>
      <c r="G375" s="1" t="s">
        <v>1687</v>
      </c>
      <c r="H375" s="5" t="s">
        <v>544</v>
      </c>
      <c r="I375" s="5" t="s">
        <v>57</v>
      </c>
      <c r="J375" s="5" t="s">
        <v>858</v>
      </c>
      <c r="K375" s="5" t="s">
        <v>842</v>
      </c>
      <c r="L375" s="5" t="s">
        <v>1402</v>
      </c>
    </row>
    <row r="376">
      <c r="A376" s="1" t="s">
        <v>1688</v>
      </c>
      <c r="B376" s="5" t="s">
        <v>1689</v>
      </c>
      <c r="C376" s="5" t="s">
        <v>53</v>
      </c>
      <c r="D376" s="5" t="s">
        <v>1690</v>
      </c>
      <c r="E376" s="36">
        <v>37354.0</v>
      </c>
      <c r="F376" s="5">
        <v>6.282116688221E12</v>
      </c>
      <c r="G376" s="1" t="s">
        <v>1691</v>
      </c>
      <c r="H376" s="5" t="s">
        <v>544</v>
      </c>
      <c r="I376" s="5" t="s">
        <v>57</v>
      </c>
      <c r="J376" s="5" t="s">
        <v>267</v>
      </c>
      <c r="K376" s="5" t="s">
        <v>1692</v>
      </c>
      <c r="L376" s="5" t="s">
        <v>697</v>
      </c>
    </row>
    <row r="377">
      <c r="A377" s="1" t="s">
        <v>1693</v>
      </c>
      <c r="B377" s="5" t="s">
        <v>1694</v>
      </c>
      <c r="C377" s="5" t="s">
        <v>53</v>
      </c>
      <c r="D377" s="5" t="s">
        <v>918</v>
      </c>
      <c r="E377" s="36">
        <v>37429.0</v>
      </c>
      <c r="F377" s="5">
        <v>6.285156539581E12</v>
      </c>
      <c r="G377" s="1" t="s">
        <v>1695</v>
      </c>
      <c r="H377" s="5" t="s">
        <v>544</v>
      </c>
      <c r="I377" s="5" t="s">
        <v>57</v>
      </c>
      <c r="J377" s="5" t="s">
        <v>385</v>
      </c>
      <c r="K377" s="5" t="s">
        <v>1696</v>
      </c>
      <c r="L377" s="5" t="s">
        <v>697</v>
      </c>
    </row>
    <row r="378">
      <c r="A378" s="1" t="s">
        <v>1697</v>
      </c>
      <c r="B378" s="5" t="s">
        <v>1698</v>
      </c>
      <c r="C378" s="5" t="s">
        <v>76</v>
      </c>
      <c r="D378" s="5" t="s">
        <v>741</v>
      </c>
      <c r="E378" s="36">
        <v>37582.0</v>
      </c>
      <c r="F378" s="5">
        <v>6.285782856588E12</v>
      </c>
      <c r="G378" s="1" t="s">
        <v>1699</v>
      </c>
      <c r="H378" s="5" t="s">
        <v>474</v>
      </c>
      <c r="I378" s="5" t="s">
        <v>57</v>
      </c>
      <c r="J378" s="5" t="s">
        <v>267</v>
      </c>
      <c r="K378" s="5" t="s">
        <v>539</v>
      </c>
      <c r="L378" s="5" t="s">
        <v>540</v>
      </c>
    </row>
    <row r="379">
      <c r="A379" s="1" t="s">
        <v>1700</v>
      </c>
      <c r="B379" s="5" t="s">
        <v>1701</v>
      </c>
      <c r="C379" s="5" t="s">
        <v>53</v>
      </c>
      <c r="D379" s="5" t="s">
        <v>869</v>
      </c>
      <c r="E379" s="35">
        <v>34117.0</v>
      </c>
      <c r="F379" s="5">
        <v>6.282140384413E12</v>
      </c>
      <c r="G379" s="1" t="s">
        <v>1702</v>
      </c>
      <c r="H379" s="5" t="s">
        <v>939</v>
      </c>
      <c r="I379" s="5" t="s">
        <v>57</v>
      </c>
      <c r="J379" s="5" t="s">
        <v>1703</v>
      </c>
    </row>
    <row r="380">
      <c r="A380" s="1" t="s">
        <v>1704</v>
      </c>
      <c r="B380" s="5" t="s">
        <v>1705</v>
      </c>
      <c r="C380" s="5" t="s">
        <v>53</v>
      </c>
      <c r="D380" s="5" t="s">
        <v>1706</v>
      </c>
      <c r="E380" s="36">
        <v>34683.0</v>
      </c>
      <c r="F380" s="5">
        <v>6.289605177985E12</v>
      </c>
      <c r="G380" s="1" t="s">
        <v>1707</v>
      </c>
      <c r="H380" s="5" t="s">
        <v>661</v>
      </c>
      <c r="I380" s="5" t="s">
        <v>57</v>
      </c>
      <c r="J380" s="5" t="s">
        <v>385</v>
      </c>
      <c r="K380" s="5" t="s">
        <v>529</v>
      </c>
      <c r="L380" s="5" t="s">
        <v>1708</v>
      </c>
    </row>
    <row r="381">
      <c r="A381" s="1" t="s">
        <v>1709</v>
      </c>
      <c r="B381" s="5" t="s">
        <v>1710</v>
      </c>
      <c r="C381" s="5" t="s">
        <v>76</v>
      </c>
      <c r="D381" s="5" t="s">
        <v>1340</v>
      </c>
      <c r="E381" s="36">
        <v>37380.0</v>
      </c>
      <c r="F381" s="5">
        <v>6.287872833648E12</v>
      </c>
      <c r="G381" s="1" t="s">
        <v>1711</v>
      </c>
      <c r="H381" s="5" t="s">
        <v>544</v>
      </c>
      <c r="I381" s="5" t="s">
        <v>57</v>
      </c>
      <c r="J381" s="5" t="s">
        <v>984</v>
      </c>
      <c r="K381" s="5" t="s">
        <v>1712</v>
      </c>
      <c r="L381" s="5" t="s">
        <v>1713</v>
      </c>
    </row>
    <row r="382">
      <c r="A382" s="1" t="s">
        <v>1714</v>
      </c>
      <c r="B382" s="5" t="s">
        <v>1715</v>
      </c>
      <c r="C382" s="5" t="s">
        <v>53</v>
      </c>
      <c r="D382" s="5" t="s">
        <v>1716</v>
      </c>
      <c r="E382" s="36">
        <v>37826.0</v>
      </c>
      <c r="F382" s="5">
        <v>6.283131596306E12</v>
      </c>
      <c r="G382" s="1" t="s">
        <v>1717</v>
      </c>
      <c r="H382" s="5" t="s">
        <v>544</v>
      </c>
      <c r="I382" s="5" t="s">
        <v>57</v>
      </c>
      <c r="J382" s="5" t="s">
        <v>813</v>
      </c>
      <c r="K382" s="5" t="s">
        <v>523</v>
      </c>
      <c r="L382" s="5" t="s">
        <v>941</v>
      </c>
    </row>
    <row r="383">
      <c r="A383" s="1" t="s">
        <v>1718</v>
      </c>
      <c r="B383" s="5" t="s">
        <v>1719</v>
      </c>
      <c r="C383" s="5" t="s">
        <v>76</v>
      </c>
      <c r="D383" s="5" t="s">
        <v>1058</v>
      </c>
      <c r="E383" s="35">
        <v>36683.0</v>
      </c>
      <c r="F383" s="5">
        <v>6.282266432241E12</v>
      </c>
      <c r="G383" s="1" t="s">
        <v>1720</v>
      </c>
      <c r="H383" s="5" t="s">
        <v>236</v>
      </c>
      <c r="I383" s="5" t="s">
        <v>57</v>
      </c>
      <c r="J383" s="5" t="s">
        <v>717</v>
      </c>
    </row>
    <row r="384">
      <c r="A384" s="1" t="s">
        <v>1721</v>
      </c>
      <c r="B384" s="5" t="s">
        <v>1722</v>
      </c>
      <c r="C384" s="5" t="s">
        <v>53</v>
      </c>
      <c r="D384" s="5" t="s">
        <v>1723</v>
      </c>
      <c r="E384" s="36">
        <v>35630.0</v>
      </c>
      <c r="F384" s="5">
        <v>6.281249781997E12</v>
      </c>
      <c r="G384" s="1" t="s">
        <v>1724</v>
      </c>
      <c r="H384" s="5" t="s">
        <v>438</v>
      </c>
      <c r="I384" s="5" t="s">
        <v>57</v>
      </c>
      <c r="J384" s="5" t="s">
        <v>1044</v>
      </c>
      <c r="K384" s="5" t="s">
        <v>523</v>
      </c>
      <c r="L384" s="5" t="s">
        <v>577</v>
      </c>
    </row>
    <row r="385">
      <c r="A385" s="1" t="s">
        <v>1725</v>
      </c>
      <c r="B385" s="5" t="s">
        <v>1726</v>
      </c>
      <c r="C385" s="5" t="s">
        <v>53</v>
      </c>
      <c r="D385" s="5" t="s">
        <v>968</v>
      </c>
      <c r="E385" s="35">
        <v>33569.0</v>
      </c>
      <c r="F385" s="5">
        <v>6.28118135476E11</v>
      </c>
      <c r="G385" s="1" t="s">
        <v>1727</v>
      </c>
      <c r="H385" s="5" t="s">
        <v>575</v>
      </c>
      <c r="I385" s="5" t="s">
        <v>57</v>
      </c>
      <c r="J385" s="5" t="s">
        <v>506</v>
      </c>
    </row>
    <row r="386">
      <c r="A386" s="1" t="s">
        <v>1728</v>
      </c>
      <c r="B386" s="5" t="s">
        <v>1729</v>
      </c>
      <c r="C386" s="5" t="s">
        <v>53</v>
      </c>
      <c r="D386" s="5" t="s">
        <v>271</v>
      </c>
      <c r="E386" s="36">
        <v>34010.0</v>
      </c>
      <c r="F386" s="5">
        <v>6.28138572991E12</v>
      </c>
      <c r="G386" s="1" t="s">
        <v>1730</v>
      </c>
      <c r="H386" s="5" t="s">
        <v>939</v>
      </c>
      <c r="I386" s="5" t="s">
        <v>57</v>
      </c>
      <c r="J386" s="5" t="s">
        <v>1217</v>
      </c>
      <c r="K386" s="5" t="s">
        <v>848</v>
      </c>
      <c r="L386" s="5" t="s">
        <v>849</v>
      </c>
    </row>
    <row r="387">
      <c r="A387" s="1" t="s">
        <v>1731</v>
      </c>
      <c r="B387" s="5" t="s">
        <v>1732</v>
      </c>
      <c r="C387" s="5" t="s">
        <v>76</v>
      </c>
      <c r="D387" s="5" t="s">
        <v>775</v>
      </c>
      <c r="E387" s="35">
        <v>32952.0</v>
      </c>
      <c r="F387" s="5">
        <v>6.285643544694E12</v>
      </c>
      <c r="G387" s="1" t="s">
        <v>1733</v>
      </c>
      <c r="H387" s="5" t="s">
        <v>190</v>
      </c>
      <c r="I387" s="5" t="s">
        <v>57</v>
      </c>
      <c r="J387" s="5" t="s">
        <v>517</v>
      </c>
    </row>
    <row r="388">
      <c r="A388" s="1" t="s">
        <v>1734</v>
      </c>
      <c r="B388" s="5" t="s">
        <v>1735</v>
      </c>
      <c r="C388" s="5" t="s">
        <v>76</v>
      </c>
      <c r="D388" s="5" t="s">
        <v>1736</v>
      </c>
      <c r="E388" s="35">
        <v>34795.0</v>
      </c>
      <c r="F388" s="5">
        <v>6.285755151353E12</v>
      </c>
      <c r="G388" s="1" t="s">
        <v>1737</v>
      </c>
      <c r="H388" s="5" t="s">
        <v>649</v>
      </c>
      <c r="I388" s="5" t="s">
        <v>57</v>
      </c>
      <c r="J388" s="5" t="s">
        <v>506</v>
      </c>
    </row>
    <row r="389">
      <c r="A389" s="1" t="s">
        <v>1738</v>
      </c>
      <c r="B389" s="5" t="s">
        <v>1739</v>
      </c>
      <c r="C389" s="5" t="s">
        <v>76</v>
      </c>
      <c r="D389" s="5" t="s">
        <v>537</v>
      </c>
      <c r="E389" s="36">
        <v>37791.0</v>
      </c>
      <c r="F389" s="5">
        <v>6.2895333885759E13</v>
      </c>
      <c r="G389" s="1" t="s">
        <v>1740</v>
      </c>
      <c r="H389" s="5" t="s">
        <v>544</v>
      </c>
      <c r="I389" s="5" t="s">
        <v>57</v>
      </c>
      <c r="J389" s="5" t="s">
        <v>267</v>
      </c>
      <c r="K389" s="5" t="s">
        <v>539</v>
      </c>
      <c r="L389" s="5" t="s">
        <v>799</v>
      </c>
    </row>
    <row r="390">
      <c r="A390" s="1" t="s">
        <v>1741</v>
      </c>
      <c r="B390" s="5" t="s">
        <v>1742</v>
      </c>
      <c r="C390" s="5" t="s">
        <v>76</v>
      </c>
      <c r="D390" s="5" t="s">
        <v>641</v>
      </c>
      <c r="E390" s="36">
        <v>37733.0</v>
      </c>
      <c r="F390" s="5">
        <v>6.28950279128E12</v>
      </c>
      <c r="G390" s="1" t="s">
        <v>1743</v>
      </c>
      <c r="H390" s="5" t="s">
        <v>544</v>
      </c>
      <c r="I390" s="5" t="s">
        <v>57</v>
      </c>
      <c r="J390" s="5" t="s">
        <v>625</v>
      </c>
      <c r="K390" s="5" t="s">
        <v>539</v>
      </c>
      <c r="L390" s="5" t="s">
        <v>799</v>
      </c>
    </row>
    <row r="391">
      <c r="A391" s="1" t="s">
        <v>1744</v>
      </c>
      <c r="B391" s="5" t="s">
        <v>1745</v>
      </c>
      <c r="C391" s="5" t="s">
        <v>53</v>
      </c>
      <c r="D391" s="5" t="s">
        <v>710</v>
      </c>
      <c r="E391" s="36">
        <v>37499.0</v>
      </c>
      <c r="F391" s="5">
        <v>6.282293043034E12</v>
      </c>
      <c r="G391" s="1" t="s">
        <v>1746</v>
      </c>
      <c r="H391" s="5" t="s">
        <v>544</v>
      </c>
      <c r="I391" s="5" t="s">
        <v>57</v>
      </c>
      <c r="J391" s="5" t="s">
        <v>712</v>
      </c>
      <c r="K391" s="5" t="s">
        <v>500</v>
      </c>
      <c r="L391" s="5" t="s">
        <v>1747</v>
      </c>
    </row>
    <row r="392">
      <c r="A392" s="1" t="s">
        <v>1748</v>
      </c>
      <c r="B392" s="5" t="s">
        <v>1749</v>
      </c>
      <c r="C392" s="5" t="s">
        <v>76</v>
      </c>
      <c r="D392" s="5" t="s">
        <v>1750</v>
      </c>
      <c r="E392" s="36">
        <v>37743.0</v>
      </c>
      <c r="F392" s="5">
        <v>6.282268940303E12</v>
      </c>
      <c r="G392" s="1" t="s">
        <v>1751</v>
      </c>
      <c r="H392" s="5" t="s">
        <v>544</v>
      </c>
      <c r="I392" s="5" t="s">
        <v>57</v>
      </c>
      <c r="J392" s="5" t="s">
        <v>309</v>
      </c>
      <c r="K392" s="5" t="s">
        <v>910</v>
      </c>
      <c r="L392" s="5" t="s">
        <v>697</v>
      </c>
    </row>
    <row r="393">
      <c r="A393" s="1" t="s">
        <v>1752</v>
      </c>
      <c r="B393" s="5" t="s">
        <v>1753</v>
      </c>
      <c r="C393" s="5" t="s">
        <v>53</v>
      </c>
      <c r="D393" s="5" t="s">
        <v>618</v>
      </c>
      <c r="E393" s="36">
        <v>38012.0</v>
      </c>
      <c r="F393" s="5">
        <v>6.2895702694943E13</v>
      </c>
      <c r="G393" s="1" t="s">
        <v>1754</v>
      </c>
      <c r="H393" s="5" t="s">
        <v>544</v>
      </c>
      <c r="I393" s="5" t="s">
        <v>57</v>
      </c>
      <c r="J393" s="5" t="s">
        <v>517</v>
      </c>
      <c r="K393" s="5" t="s">
        <v>1755</v>
      </c>
      <c r="L393" s="5" t="s">
        <v>793</v>
      </c>
    </row>
    <row r="394">
      <c r="A394" s="1" t="s">
        <v>1756</v>
      </c>
      <c r="B394" s="5" t="s">
        <v>1757</v>
      </c>
      <c r="C394" s="5" t="s">
        <v>76</v>
      </c>
      <c r="D394" s="5" t="s">
        <v>811</v>
      </c>
      <c r="E394" s="36">
        <v>37528.0</v>
      </c>
      <c r="F394" s="5">
        <v>6.289533467302E13</v>
      </c>
      <c r="G394" s="1" t="s">
        <v>1758</v>
      </c>
      <c r="H394" s="5" t="s">
        <v>544</v>
      </c>
      <c r="I394" s="5" t="s">
        <v>57</v>
      </c>
      <c r="J394" s="5" t="s">
        <v>1759</v>
      </c>
      <c r="K394" s="5" t="s">
        <v>539</v>
      </c>
      <c r="L394" s="5" t="s">
        <v>540</v>
      </c>
    </row>
    <row r="395">
      <c r="A395" s="1" t="s">
        <v>1760</v>
      </c>
      <c r="B395" s="5" t="s">
        <v>1761</v>
      </c>
      <c r="C395" s="5" t="s">
        <v>76</v>
      </c>
      <c r="D395" s="5" t="s">
        <v>1762</v>
      </c>
      <c r="E395" s="36">
        <v>37868.0</v>
      </c>
      <c r="F395" s="5">
        <v>6.282351319698E12</v>
      </c>
      <c r="G395" s="1" t="s">
        <v>1763</v>
      </c>
      <c r="H395" s="5" t="s">
        <v>544</v>
      </c>
      <c r="I395" s="5" t="s">
        <v>57</v>
      </c>
      <c r="J395" s="5" t="s">
        <v>702</v>
      </c>
      <c r="K395" s="5" t="s">
        <v>529</v>
      </c>
      <c r="L395" s="5" t="s">
        <v>1263</v>
      </c>
    </row>
    <row r="396">
      <c r="A396" s="1" t="s">
        <v>1764</v>
      </c>
      <c r="B396" s="5" t="s">
        <v>1765</v>
      </c>
      <c r="C396" s="5" t="s">
        <v>76</v>
      </c>
      <c r="D396" s="5" t="s">
        <v>1766</v>
      </c>
      <c r="E396" s="36">
        <v>34619.0</v>
      </c>
      <c r="F396" s="5">
        <v>6.28528111222E12</v>
      </c>
      <c r="G396" s="1" t="s">
        <v>1767</v>
      </c>
      <c r="H396" s="5" t="s">
        <v>661</v>
      </c>
      <c r="I396" s="5" t="s">
        <v>57</v>
      </c>
      <c r="J396" s="5" t="s">
        <v>569</v>
      </c>
      <c r="K396" s="5" t="s">
        <v>848</v>
      </c>
      <c r="L396" s="5" t="s">
        <v>1768</v>
      </c>
    </row>
    <row r="397">
      <c r="A397" s="1" t="s">
        <v>1769</v>
      </c>
      <c r="B397" s="5" t="s">
        <v>1770</v>
      </c>
      <c r="C397" s="5" t="s">
        <v>76</v>
      </c>
      <c r="D397" s="5" t="s">
        <v>527</v>
      </c>
      <c r="E397" s="36">
        <v>34038.0</v>
      </c>
      <c r="F397" s="5">
        <v>6.28125333247E12</v>
      </c>
      <c r="G397" s="1" t="s">
        <v>1771</v>
      </c>
      <c r="H397" s="5" t="s">
        <v>575</v>
      </c>
      <c r="I397" s="5" t="s">
        <v>57</v>
      </c>
      <c r="J397" s="5" t="s">
        <v>506</v>
      </c>
      <c r="K397" s="5" t="s">
        <v>539</v>
      </c>
      <c r="L397" s="5" t="s">
        <v>799</v>
      </c>
    </row>
    <row r="398">
      <c r="A398" s="1" t="s">
        <v>1772</v>
      </c>
      <c r="B398" s="5" t="s">
        <v>1773</v>
      </c>
      <c r="C398" s="5" t="s">
        <v>76</v>
      </c>
      <c r="D398" s="5" t="s">
        <v>618</v>
      </c>
      <c r="E398" s="36">
        <v>37607.0</v>
      </c>
      <c r="F398" s="5">
        <v>6.281358968559E12</v>
      </c>
      <c r="G398" s="1" t="s">
        <v>1774</v>
      </c>
      <c r="H398" s="5" t="s">
        <v>544</v>
      </c>
      <c r="I398" s="5" t="s">
        <v>562</v>
      </c>
      <c r="J398" s="5" t="s">
        <v>517</v>
      </c>
      <c r="K398" s="5" t="s">
        <v>1775</v>
      </c>
      <c r="L398" s="5" t="s">
        <v>1776</v>
      </c>
    </row>
    <row r="399">
      <c r="A399" s="1" t="s">
        <v>1777</v>
      </c>
      <c r="B399" s="5" t="s">
        <v>1778</v>
      </c>
      <c r="C399" s="5" t="s">
        <v>53</v>
      </c>
      <c r="D399" s="5" t="s">
        <v>968</v>
      </c>
      <c r="E399" s="36">
        <v>35769.0</v>
      </c>
      <c r="F399" s="5">
        <v>6.281938006089E12</v>
      </c>
      <c r="G399" s="1" t="s">
        <v>1779</v>
      </c>
      <c r="H399" s="5" t="s">
        <v>438</v>
      </c>
      <c r="I399" s="5" t="s">
        <v>57</v>
      </c>
      <c r="J399" s="5" t="s">
        <v>1142</v>
      </c>
      <c r="K399" s="5" t="s">
        <v>529</v>
      </c>
      <c r="L399" s="5" t="s">
        <v>1192</v>
      </c>
    </row>
    <row r="400">
      <c r="A400" s="1" t="s">
        <v>1780</v>
      </c>
      <c r="B400" s="5" t="s">
        <v>1781</v>
      </c>
      <c r="C400" s="5" t="s">
        <v>53</v>
      </c>
      <c r="D400" s="5" t="s">
        <v>1782</v>
      </c>
      <c r="E400" s="36">
        <v>34566.0</v>
      </c>
      <c r="F400" s="5">
        <v>6.28213559483E12</v>
      </c>
      <c r="G400" s="1" t="s">
        <v>1783</v>
      </c>
      <c r="H400" s="5" t="s">
        <v>661</v>
      </c>
      <c r="I400" s="5" t="s">
        <v>57</v>
      </c>
      <c r="J400" s="5" t="s">
        <v>482</v>
      </c>
      <c r="K400" s="5" t="s">
        <v>910</v>
      </c>
      <c r="L400" s="5" t="s">
        <v>1784</v>
      </c>
    </row>
    <row r="401">
      <c r="A401" s="1" t="s">
        <v>1785</v>
      </c>
      <c r="B401" s="5" t="s">
        <v>1786</v>
      </c>
      <c r="C401" s="5" t="s">
        <v>76</v>
      </c>
      <c r="D401" s="5" t="s">
        <v>585</v>
      </c>
      <c r="E401" s="36">
        <v>37454.0</v>
      </c>
      <c r="F401" s="5">
        <v>6.28813891815E11</v>
      </c>
      <c r="G401" s="1" t="s">
        <v>1787</v>
      </c>
      <c r="H401" s="5" t="s">
        <v>544</v>
      </c>
      <c r="I401" s="5" t="s">
        <v>57</v>
      </c>
      <c r="J401" s="5" t="s">
        <v>482</v>
      </c>
      <c r="K401" s="5" t="s">
        <v>529</v>
      </c>
      <c r="L401" s="5" t="s">
        <v>530</v>
      </c>
    </row>
    <row r="402">
      <c r="A402" s="1" t="s">
        <v>1788</v>
      </c>
      <c r="B402" s="5" t="s">
        <v>1789</v>
      </c>
      <c r="C402" s="5" t="s">
        <v>76</v>
      </c>
      <c r="D402" s="5" t="s">
        <v>705</v>
      </c>
      <c r="E402" s="36">
        <v>37639.0</v>
      </c>
      <c r="F402" s="5">
        <v>6.285765850837E12</v>
      </c>
      <c r="G402" s="1" t="s">
        <v>1790</v>
      </c>
      <c r="H402" s="5" t="s">
        <v>544</v>
      </c>
      <c r="I402" s="5" t="s">
        <v>562</v>
      </c>
      <c r="J402" s="5" t="s">
        <v>904</v>
      </c>
      <c r="K402" s="5" t="s">
        <v>1791</v>
      </c>
      <c r="L402" s="5" t="s">
        <v>1792</v>
      </c>
    </row>
    <row r="403">
      <c r="A403" s="1" t="s">
        <v>1793</v>
      </c>
      <c r="B403" s="5" t="s">
        <v>1794</v>
      </c>
      <c r="C403" s="5" t="s">
        <v>76</v>
      </c>
      <c r="D403" s="5" t="s">
        <v>1054</v>
      </c>
      <c r="E403" s="36">
        <v>37489.0</v>
      </c>
      <c r="F403" s="5">
        <v>6.285700148098E12</v>
      </c>
      <c r="G403" s="1" t="s">
        <v>1795</v>
      </c>
      <c r="H403" s="5" t="s">
        <v>293</v>
      </c>
      <c r="I403" s="5" t="s">
        <v>57</v>
      </c>
      <c r="J403" s="5" t="s">
        <v>475</v>
      </c>
      <c r="K403" s="5" t="s">
        <v>672</v>
      </c>
      <c r="L403" s="5" t="s">
        <v>1484</v>
      </c>
    </row>
    <row r="404">
      <c r="A404" s="1" t="s">
        <v>1796</v>
      </c>
      <c r="B404" s="5" t="s">
        <v>1797</v>
      </c>
      <c r="C404" s="5" t="s">
        <v>53</v>
      </c>
      <c r="D404" s="5" t="s">
        <v>1072</v>
      </c>
      <c r="E404" s="36">
        <v>37854.0</v>
      </c>
      <c r="F404" s="5">
        <v>6.281243114656E12</v>
      </c>
      <c r="G404" s="1" t="s">
        <v>1798</v>
      </c>
      <c r="H404" s="5" t="s">
        <v>544</v>
      </c>
      <c r="I404" s="5" t="s">
        <v>57</v>
      </c>
      <c r="J404" s="5" t="s">
        <v>1002</v>
      </c>
      <c r="K404" s="5" t="s">
        <v>529</v>
      </c>
      <c r="L404" s="5" t="s">
        <v>1708</v>
      </c>
    </row>
    <row r="405">
      <c r="A405" s="1" t="s">
        <v>1799</v>
      </c>
      <c r="B405" s="5" t="s">
        <v>1800</v>
      </c>
      <c r="C405" s="5" t="s">
        <v>53</v>
      </c>
      <c r="D405" s="5" t="s">
        <v>1801</v>
      </c>
      <c r="E405" s="35">
        <v>36568.0</v>
      </c>
      <c r="F405" s="5">
        <v>6.285843408947E12</v>
      </c>
      <c r="G405" s="1" t="s">
        <v>1802</v>
      </c>
      <c r="H405" s="5" t="s">
        <v>474</v>
      </c>
      <c r="I405" s="5" t="s">
        <v>57</v>
      </c>
      <c r="J405" s="5" t="s">
        <v>1205</v>
      </c>
    </row>
    <row r="406">
      <c r="A406" s="1" t="s">
        <v>1803</v>
      </c>
      <c r="B406" s="5" t="s">
        <v>1804</v>
      </c>
      <c r="C406" s="5" t="s">
        <v>76</v>
      </c>
      <c r="D406" s="5" t="s">
        <v>472</v>
      </c>
      <c r="E406" s="35">
        <v>37140.0</v>
      </c>
      <c r="F406" s="5">
        <v>6.282111977527E12</v>
      </c>
      <c r="G406" s="1" t="s">
        <v>1805</v>
      </c>
      <c r="H406" s="5" t="s">
        <v>293</v>
      </c>
      <c r="I406" s="5" t="s">
        <v>57</v>
      </c>
      <c r="J406" s="5" t="s">
        <v>475</v>
      </c>
    </row>
    <row r="407">
      <c r="A407" s="1" t="s">
        <v>1806</v>
      </c>
      <c r="B407" s="5" t="s">
        <v>1807</v>
      </c>
      <c r="C407" s="5" t="s">
        <v>76</v>
      </c>
      <c r="D407" s="5" t="s">
        <v>1808</v>
      </c>
      <c r="E407" s="36">
        <v>37780.0</v>
      </c>
      <c r="F407" s="5">
        <v>6.282166023779E12</v>
      </c>
      <c r="G407" s="1" t="s">
        <v>1809</v>
      </c>
      <c r="H407" s="5" t="s">
        <v>544</v>
      </c>
      <c r="I407" s="5" t="s">
        <v>57</v>
      </c>
      <c r="J407" s="5" t="s">
        <v>1142</v>
      </c>
      <c r="K407" s="5" t="s">
        <v>529</v>
      </c>
      <c r="L407" s="5" t="s">
        <v>1810</v>
      </c>
    </row>
    <row r="408">
      <c r="A408" s="1" t="s">
        <v>1811</v>
      </c>
      <c r="B408" s="5" t="s">
        <v>1812</v>
      </c>
      <c r="C408" s="5" t="s">
        <v>53</v>
      </c>
      <c r="D408" s="3" t="s">
        <v>1813</v>
      </c>
      <c r="E408" s="36">
        <v>37525.0</v>
      </c>
      <c r="F408" s="5">
        <v>6.285606063206E12</v>
      </c>
      <c r="G408" s="1" t="s">
        <v>1814</v>
      </c>
      <c r="H408" s="5" t="s">
        <v>544</v>
      </c>
      <c r="I408" s="5" t="s">
        <v>57</v>
      </c>
      <c r="J408" s="5" t="s">
        <v>1060</v>
      </c>
      <c r="K408" s="5" t="s">
        <v>1815</v>
      </c>
      <c r="L408" s="5" t="s">
        <v>1816</v>
      </c>
    </row>
    <row r="409">
      <c r="A409" s="1" t="s">
        <v>1817</v>
      </c>
      <c r="B409" s="5" t="s">
        <v>1818</v>
      </c>
      <c r="C409" s="5" t="s">
        <v>53</v>
      </c>
      <c r="D409" s="5" t="s">
        <v>537</v>
      </c>
      <c r="E409" s="36">
        <v>37321.0</v>
      </c>
      <c r="F409" s="5">
        <v>6.281779044339E12</v>
      </c>
      <c r="G409" s="1" t="s">
        <v>1819</v>
      </c>
      <c r="H409" s="5" t="s">
        <v>544</v>
      </c>
      <c r="I409" s="5" t="s">
        <v>57</v>
      </c>
      <c r="J409" s="5" t="s">
        <v>1205</v>
      </c>
      <c r="K409" s="5" t="s">
        <v>523</v>
      </c>
      <c r="L409" s="5" t="s">
        <v>577</v>
      </c>
    </row>
    <row r="410">
      <c r="A410" s="1" t="s">
        <v>1820</v>
      </c>
      <c r="B410" s="5" t="s">
        <v>1821</v>
      </c>
      <c r="C410" s="5" t="s">
        <v>76</v>
      </c>
      <c r="D410" s="5" t="s">
        <v>1822</v>
      </c>
      <c r="E410" s="36">
        <v>37712.0</v>
      </c>
      <c r="F410" s="5">
        <v>6.287781131906E12</v>
      </c>
      <c r="G410" s="1" t="s">
        <v>1823</v>
      </c>
      <c r="H410" s="5" t="s">
        <v>544</v>
      </c>
      <c r="I410" s="5" t="s">
        <v>57</v>
      </c>
      <c r="J410" s="5" t="s">
        <v>576</v>
      </c>
      <c r="K410" s="5" t="s">
        <v>529</v>
      </c>
      <c r="L410" s="5" t="s">
        <v>530</v>
      </c>
    </row>
    <row r="411">
      <c r="A411" s="1" t="s">
        <v>1824</v>
      </c>
      <c r="B411" s="5" t="s">
        <v>1825</v>
      </c>
      <c r="C411" s="5" t="s">
        <v>53</v>
      </c>
      <c r="D411" s="5" t="s">
        <v>1826</v>
      </c>
      <c r="E411" s="36">
        <v>37639.0</v>
      </c>
      <c r="F411" s="5">
        <v>6.281368554185E12</v>
      </c>
      <c r="G411" s="1" t="s">
        <v>1827</v>
      </c>
      <c r="H411" s="5" t="s">
        <v>544</v>
      </c>
      <c r="I411" s="5" t="s">
        <v>57</v>
      </c>
      <c r="J411" s="5" t="s">
        <v>807</v>
      </c>
      <c r="K411" s="5" t="s">
        <v>529</v>
      </c>
      <c r="L411" s="5" t="s">
        <v>1359</v>
      </c>
    </row>
    <row r="412">
      <c r="A412" s="1" t="s">
        <v>1828</v>
      </c>
      <c r="B412" s="5" t="s">
        <v>1829</v>
      </c>
      <c r="C412" s="5" t="s">
        <v>76</v>
      </c>
      <c r="D412" s="5" t="s">
        <v>618</v>
      </c>
      <c r="E412" s="36">
        <v>36188.0</v>
      </c>
      <c r="F412" s="5">
        <v>6.281329064338E12</v>
      </c>
      <c r="G412" s="1" t="s">
        <v>1830</v>
      </c>
      <c r="H412" s="5" t="s">
        <v>516</v>
      </c>
      <c r="I412" s="5" t="s">
        <v>57</v>
      </c>
      <c r="J412" s="5" t="s">
        <v>517</v>
      </c>
      <c r="K412" s="5" t="s">
        <v>910</v>
      </c>
      <c r="L412" s="5" t="s">
        <v>1831</v>
      </c>
    </row>
    <row r="413">
      <c r="A413" s="1" t="s">
        <v>1832</v>
      </c>
      <c r="B413" s="5" t="s">
        <v>1833</v>
      </c>
      <c r="C413" s="5" t="s">
        <v>76</v>
      </c>
      <c r="D413" s="3" t="s">
        <v>618</v>
      </c>
      <c r="E413" s="36">
        <v>37817.0</v>
      </c>
      <c r="F413" s="5">
        <v>6.28777711457E12</v>
      </c>
      <c r="G413" s="1" t="s">
        <v>1834</v>
      </c>
      <c r="H413" s="5" t="s">
        <v>544</v>
      </c>
      <c r="I413" s="5" t="s">
        <v>57</v>
      </c>
      <c r="J413" s="5" t="s">
        <v>847</v>
      </c>
      <c r="K413" s="5" t="s">
        <v>842</v>
      </c>
      <c r="L413" s="5" t="s">
        <v>540</v>
      </c>
    </row>
    <row r="414">
      <c r="A414" s="1" t="s">
        <v>1835</v>
      </c>
      <c r="B414" s="5" t="s">
        <v>1836</v>
      </c>
      <c r="C414" s="5" t="s">
        <v>53</v>
      </c>
      <c r="D414" s="5" t="s">
        <v>479</v>
      </c>
      <c r="E414" s="36">
        <v>37708.0</v>
      </c>
      <c r="F414" s="5">
        <v>6.282220995856E12</v>
      </c>
      <c r="G414" s="1" t="s">
        <v>1837</v>
      </c>
      <c r="H414" s="5" t="s">
        <v>544</v>
      </c>
      <c r="I414" s="5" t="s">
        <v>57</v>
      </c>
      <c r="J414" s="5" t="s">
        <v>517</v>
      </c>
      <c r="K414" s="5" t="s">
        <v>1838</v>
      </c>
      <c r="L414" s="5" t="s">
        <v>540</v>
      </c>
    </row>
    <row r="415">
      <c r="A415" s="1" t="s">
        <v>1839</v>
      </c>
      <c r="B415" s="5" t="s">
        <v>1840</v>
      </c>
      <c r="C415" s="5" t="s">
        <v>53</v>
      </c>
      <c r="D415" s="5" t="s">
        <v>1307</v>
      </c>
      <c r="E415" s="36">
        <v>37493.0</v>
      </c>
      <c r="F415" s="5">
        <v>6.282193524134E12</v>
      </c>
      <c r="G415" s="1" t="s">
        <v>1841</v>
      </c>
      <c r="H415" s="5" t="s">
        <v>544</v>
      </c>
      <c r="I415" s="5" t="s">
        <v>57</v>
      </c>
      <c r="J415" s="5" t="s">
        <v>1598</v>
      </c>
      <c r="K415" s="5" t="s">
        <v>848</v>
      </c>
      <c r="L415" s="5" t="s">
        <v>849</v>
      </c>
    </row>
    <row r="416">
      <c r="A416" s="1" t="s">
        <v>1842</v>
      </c>
      <c r="B416" s="5" t="s">
        <v>1843</v>
      </c>
      <c r="C416" s="5" t="s">
        <v>53</v>
      </c>
      <c r="D416" s="5" t="s">
        <v>1844</v>
      </c>
      <c r="E416" s="36">
        <v>37615.0</v>
      </c>
      <c r="F416" s="5">
        <v>6.28129405452E12</v>
      </c>
      <c r="G416" s="1" t="s">
        <v>1845</v>
      </c>
      <c r="H416" s="5" t="s">
        <v>544</v>
      </c>
      <c r="I416" s="5" t="s">
        <v>57</v>
      </c>
      <c r="J416" s="5" t="s">
        <v>952</v>
      </c>
      <c r="K416" s="5" t="s">
        <v>529</v>
      </c>
      <c r="L416" s="5" t="s">
        <v>1846</v>
      </c>
    </row>
    <row r="417">
      <c r="A417" s="1" t="s">
        <v>1847</v>
      </c>
      <c r="B417" s="5" t="s">
        <v>1848</v>
      </c>
      <c r="C417" s="5" t="s">
        <v>76</v>
      </c>
      <c r="D417" s="5" t="s">
        <v>633</v>
      </c>
      <c r="E417" s="36">
        <v>37831.0</v>
      </c>
      <c r="F417" s="5">
        <v>6.282122329685E12</v>
      </c>
      <c r="G417" s="1" t="s">
        <v>1849</v>
      </c>
      <c r="H417" s="5" t="s">
        <v>544</v>
      </c>
      <c r="I417" s="5" t="s">
        <v>57</v>
      </c>
      <c r="J417" s="5" t="s">
        <v>858</v>
      </c>
      <c r="K417" s="5" t="s">
        <v>523</v>
      </c>
      <c r="L417" s="5" t="s">
        <v>524</v>
      </c>
    </row>
    <row r="418">
      <c r="A418" s="1" t="s">
        <v>1850</v>
      </c>
      <c r="B418" s="5" t="s">
        <v>1851</v>
      </c>
      <c r="C418" s="5" t="s">
        <v>53</v>
      </c>
      <c r="D418" s="5" t="s">
        <v>537</v>
      </c>
      <c r="E418" s="36">
        <v>37620.0</v>
      </c>
      <c r="F418" s="5">
        <v>6.289699557099E12</v>
      </c>
      <c r="G418" s="1" t="s">
        <v>1852</v>
      </c>
      <c r="H418" s="5" t="s">
        <v>544</v>
      </c>
      <c r="I418" s="5" t="s">
        <v>57</v>
      </c>
      <c r="J418" s="5" t="s">
        <v>858</v>
      </c>
      <c r="K418" s="5" t="s">
        <v>523</v>
      </c>
      <c r="L418" s="5" t="s">
        <v>1853</v>
      </c>
    </row>
    <row r="419">
      <c r="A419" s="1" t="s">
        <v>1854</v>
      </c>
      <c r="B419" s="5" t="s">
        <v>1855</v>
      </c>
      <c r="C419" s="5" t="s">
        <v>76</v>
      </c>
      <c r="D419" s="5" t="s">
        <v>741</v>
      </c>
      <c r="E419" s="36">
        <v>37783.0</v>
      </c>
      <c r="F419" s="5">
        <v>6.281382330757E12</v>
      </c>
      <c r="G419" s="1" t="s">
        <v>1856</v>
      </c>
      <c r="H419" s="5" t="s">
        <v>544</v>
      </c>
      <c r="I419" s="5" t="s">
        <v>57</v>
      </c>
      <c r="J419" s="5" t="s">
        <v>858</v>
      </c>
      <c r="K419" s="5" t="s">
        <v>697</v>
      </c>
      <c r="L419" s="5" t="s">
        <v>697</v>
      </c>
    </row>
    <row r="420">
      <c r="A420" s="1" t="s">
        <v>1857</v>
      </c>
      <c r="B420" s="5" t="s">
        <v>1858</v>
      </c>
      <c r="C420" s="5" t="s">
        <v>76</v>
      </c>
      <c r="D420" s="5" t="s">
        <v>770</v>
      </c>
      <c r="E420" s="36">
        <v>37594.0</v>
      </c>
      <c r="F420" s="5">
        <v>6.281805347384E12</v>
      </c>
      <c r="G420" s="1" t="s">
        <v>1859</v>
      </c>
      <c r="H420" s="5" t="s">
        <v>544</v>
      </c>
      <c r="I420" s="5" t="s">
        <v>57</v>
      </c>
      <c r="J420" s="5" t="s">
        <v>517</v>
      </c>
      <c r="K420" s="5" t="s">
        <v>529</v>
      </c>
      <c r="L420" s="5" t="s">
        <v>530</v>
      </c>
    </row>
    <row r="421">
      <c r="A421" s="1" t="s">
        <v>1860</v>
      </c>
      <c r="B421" s="5" t="s">
        <v>1861</v>
      </c>
      <c r="C421" s="5" t="s">
        <v>76</v>
      </c>
      <c r="D421" s="5" t="s">
        <v>1862</v>
      </c>
      <c r="E421" s="36">
        <v>37694.0</v>
      </c>
      <c r="F421" s="5">
        <v>6.28112296277E11</v>
      </c>
      <c r="G421" s="1" t="s">
        <v>1863</v>
      </c>
      <c r="H421" s="5" t="s">
        <v>544</v>
      </c>
      <c r="I421" s="5" t="s">
        <v>57</v>
      </c>
      <c r="J421" s="5" t="s">
        <v>1217</v>
      </c>
      <c r="K421" s="5" t="s">
        <v>848</v>
      </c>
      <c r="L421" s="5" t="s">
        <v>849</v>
      </c>
    </row>
    <row r="422">
      <c r="A422" s="1" t="s">
        <v>1864</v>
      </c>
      <c r="E422" s="35"/>
      <c r="G422" s="1"/>
    </row>
    <row r="423">
      <c r="A423" s="1" t="s">
        <v>1865</v>
      </c>
      <c r="B423" s="5" t="s">
        <v>1866</v>
      </c>
      <c r="C423" s="5" t="s">
        <v>76</v>
      </c>
      <c r="D423" s="5" t="s">
        <v>537</v>
      </c>
      <c r="E423" s="36">
        <v>37397.0</v>
      </c>
      <c r="F423" s="5">
        <v>6.281546021658E12</v>
      </c>
      <c r="G423" s="1" t="s">
        <v>1867</v>
      </c>
      <c r="H423" s="5" t="s">
        <v>474</v>
      </c>
      <c r="I423" s="5" t="s">
        <v>57</v>
      </c>
      <c r="J423" s="5" t="s">
        <v>996</v>
      </c>
      <c r="K423" s="5" t="s">
        <v>529</v>
      </c>
      <c r="L423" s="5" t="s">
        <v>1868</v>
      </c>
    </row>
    <row r="424">
      <c r="A424" s="1" t="s">
        <v>1869</v>
      </c>
      <c r="B424" s="5" t="s">
        <v>1870</v>
      </c>
      <c r="C424" s="5" t="s">
        <v>53</v>
      </c>
      <c r="D424" s="5" t="s">
        <v>271</v>
      </c>
      <c r="E424" s="35">
        <v>30924.0</v>
      </c>
      <c r="F424" s="5">
        <v>6.281287840593E12</v>
      </c>
      <c r="G424" s="1" t="s">
        <v>1871</v>
      </c>
      <c r="H424" s="5" t="s">
        <v>56</v>
      </c>
      <c r="I424" s="5" t="s">
        <v>57</v>
      </c>
      <c r="J424" s="5" t="s">
        <v>707</v>
      </c>
    </row>
    <row r="425">
      <c r="A425" s="1" t="s">
        <v>1872</v>
      </c>
      <c r="B425" s="5" t="s">
        <v>1873</v>
      </c>
      <c r="C425" s="5" t="s">
        <v>53</v>
      </c>
      <c r="D425" s="5" t="s">
        <v>823</v>
      </c>
      <c r="E425" s="36">
        <v>37356.0</v>
      </c>
      <c r="F425" s="5">
        <v>6.287775972032E12</v>
      </c>
      <c r="G425" s="1" t="s">
        <v>1874</v>
      </c>
      <c r="H425" s="5" t="s">
        <v>474</v>
      </c>
      <c r="I425" s="5" t="s">
        <v>57</v>
      </c>
      <c r="J425" s="5" t="s">
        <v>1875</v>
      </c>
      <c r="K425" s="5" t="s">
        <v>591</v>
      </c>
      <c r="L425" s="5" t="s">
        <v>1359</v>
      </c>
    </row>
    <row r="426">
      <c r="A426" s="1" t="s">
        <v>1876</v>
      </c>
      <c r="B426" s="5" t="s">
        <v>1877</v>
      </c>
      <c r="C426" s="5" t="s">
        <v>53</v>
      </c>
      <c r="D426" s="5" t="s">
        <v>968</v>
      </c>
      <c r="E426" s="36">
        <v>37025.0</v>
      </c>
      <c r="F426" s="5">
        <v>6.285806531603E12</v>
      </c>
      <c r="G426" s="1" t="s">
        <v>1878</v>
      </c>
      <c r="H426" s="5" t="s">
        <v>474</v>
      </c>
      <c r="I426" s="5" t="s">
        <v>57</v>
      </c>
      <c r="J426" s="5" t="s">
        <v>772</v>
      </c>
      <c r="K426" s="5" t="s">
        <v>1138</v>
      </c>
      <c r="L426" s="5" t="s">
        <v>592</v>
      </c>
    </row>
    <row r="427">
      <c r="A427" s="1" t="s">
        <v>1879</v>
      </c>
      <c r="B427" s="5" t="s">
        <v>1880</v>
      </c>
      <c r="C427" s="5" t="s">
        <v>53</v>
      </c>
      <c r="D427" s="5" t="s">
        <v>1648</v>
      </c>
      <c r="E427" s="36">
        <v>37436.0</v>
      </c>
      <c r="F427" s="5">
        <v>6.2895336188354E13</v>
      </c>
      <c r="G427" s="1" t="s">
        <v>1881</v>
      </c>
      <c r="H427" s="5" t="s">
        <v>544</v>
      </c>
      <c r="I427" s="5" t="s">
        <v>562</v>
      </c>
      <c r="J427" s="5" t="s">
        <v>506</v>
      </c>
      <c r="K427" s="5" t="s">
        <v>529</v>
      </c>
      <c r="L427" s="5" t="s">
        <v>592</v>
      </c>
    </row>
    <row r="428">
      <c r="A428" s="1" t="s">
        <v>1882</v>
      </c>
      <c r="B428" s="5" t="s">
        <v>1883</v>
      </c>
      <c r="C428" s="5" t="s">
        <v>53</v>
      </c>
      <c r="D428" s="5" t="s">
        <v>537</v>
      </c>
      <c r="E428" s="36">
        <v>34327.0</v>
      </c>
      <c r="F428" s="5">
        <v>6.281296760489E12</v>
      </c>
      <c r="G428" s="1" t="s">
        <v>1884</v>
      </c>
      <c r="H428" s="5" t="s">
        <v>939</v>
      </c>
      <c r="I428" s="5" t="s">
        <v>57</v>
      </c>
      <c r="J428" s="5" t="s">
        <v>1205</v>
      </c>
      <c r="K428" s="5" t="s">
        <v>523</v>
      </c>
      <c r="L428" s="5" t="s">
        <v>524</v>
      </c>
    </row>
    <row r="429">
      <c r="A429" s="1" t="s">
        <v>1885</v>
      </c>
      <c r="B429" s="5" t="s">
        <v>1886</v>
      </c>
      <c r="C429" s="5" t="s">
        <v>53</v>
      </c>
      <c r="D429" s="5" t="s">
        <v>1762</v>
      </c>
      <c r="E429" s="36">
        <v>34608.0</v>
      </c>
      <c r="F429" s="5">
        <v>6.282346497393E12</v>
      </c>
      <c r="G429" s="1" t="s">
        <v>1887</v>
      </c>
      <c r="H429" s="5" t="s">
        <v>939</v>
      </c>
      <c r="I429" s="5" t="s">
        <v>57</v>
      </c>
      <c r="J429" s="5" t="s">
        <v>702</v>
      </c>
      <c r="K429" s="5" t="s">
        <v>539</v>
      </c>
      <c r="L429" s="5" t="s">
        <v>799</v>
      </c>
    </row>
    <row r="430">
      <c r="A430" s="1" t="s">
        <v>1888</v>
      </c>
      <c r="B430" s="5" t="s">
        <v>1889</v>
      </c>
      <c r="C430" s="5" t="s">
        <v>76</v>
      </c>
      <c r="D430" s="5" t="s">
        <v>1890</v>
      </c>
      <c r="E430" s="36">
        <v>37761.0</v>
      </c>
      <c r="F430" s="5">
        <v>6.281387009363E12</v>
      </c>
      <c r="G430" s="1" t="s">
        <v>1891</v>
      </c>
      <c r="H430" s="5" t="s">
        <v>544</v>
      </c>
      <c r="I430" s="5" t="s">
        <v>57</v>
      </c>
      <c r="J430" s="5" t="s">
        <v>707</v>
      </c>
      <c r="K430" s="5" t="s">
        <v>1677</v>
      </c>
      <c r="L430" s="5" t="s">
        <v>1892</v>
      </c>
    </row>
    <row r="431">
      <c r="A431" s="1" t="s">
        <v>1893</v>
      </c>
      <c r="B431" s="5" t="s">
        <v>1894</v>
      </c>
      <c r="C431" s="5" t="s">
        <v>76</v>
      </c>
      <c r="D431" s="5" t="s">
        <v>994</v>
      </c>
      <c r="E431" s="36">
        <v>37640.0</v>
      </c>
      <c r="F431" s="5">
        <v>6.285232926396E12</v>
      </c>
      <c r="G431" s="1" t="s">
        <v>1895</v>
      </c>
      <c r="H431" s="5" t="s">
        <v>544</v>
      </c>
      <c r="I431" s="5" t="s">
        <v>57</v>
      </c>
      <c r="J431" s="5" t="s">
        <v>825</v>
      </c>
      <c r="K431" s="5" t="s">
        <v>539</v>
      </c>
      <c r="L431" s="5" t="s">
        <v>540</v>
      </c>
    </row>
    <row r="432">
      <c r="A432" s="1" t="s">
        <v>1896</v>
      </c>
      <c r="B432" s="5" t="s">
        <v>1897</v>
      </c>
      <c r="C432" s="5" t="s">
        <v>76</v>
      </c>
      <c r="D432" s="5" t="s">
        <v>537</v>
      </c>
      <c r="E432" s="36">
        <v>37835.0</v>
      </c>
      <c r="F432" s="5">
        <v>6.28985487094E11</v>
      </c>
      <c r="G432" s="1" t="s">
        <v>1898</v>
      </c>
      <c r="H432" s="5" t="s">
        <v>544</v>
      </c>
      <c r="I432" s="5" t="s">
        <v>562</v>
      </c>
      <c r="J432" s="5" t="s">
        <v>620</v>
      </c>
      <c r="K432" s="5" t="s">
        <v>746</v>
      </c>
      <c r="L432" s="5" t="s">
        <v>1899</v>
      </c>
    </row>
    <row r="433">
      <c r="A433" s="1" t="s">
        <v>1900</v>
      </c>
      <c r="B433" s="5" t="s">
        <v>1901</v>
      </c>
      <c r="C433" s="5" t="s">
        <v>76</v>
      </c>
      <c r="D433" s="5" t="s">
        <v>908</v>
      </c>
      <c r="E433" s="36">
        <v>35872.0</v>
      </c>
      <c r="F433" s="5">
        <v>6.288286229379E12</v>
      </c>
      <c r="G433" s="1" t="s">
        <v>1902</v>
      </c>
      <c r="H433" s="5" t="s">
        <v>438</v>
      </c>
      <c r="I433" s="5" t="s">
        <v>57</v>
      </c>
      <c r="J433" s="5" t="s">
        <v>854</v>
      </c>
      <c r="K433" s="5" t="s">
        <v>556</v>
      </c>
      <c r="L433" s="5" t="s">
        <v>808</v>
      </c>
    </row>
    <row r="434">
      <c r="A434" s="1" t="s">
        <v>1903</v>
      </c>
      <c r="B434" s="5" t="s">
        <v>1904</v>
      </c>
      <c r="C434" s="5" t="s">
        <v>76</v>
      </c>
      <c r="D434" s="5" t="s">
        <v>271</v>
      </c>
      <c r="E434" s="36">
        <v>37806.0</v>
      </c>
      <c r="F434" s="5">
        <v>6.281312397193E12</v>
      </c>
      <c r="G434" s="1" t="s">
        <v>1905</v>
      </c>
      <c r="H434" s="5" t="s">
        <v>544</v>
      </c>
      <c r="I434" s="5" t="s">
        <v>57</v>
      </c>
      <c r="J434" s="5" t="s">
        <v>1217</v>
      </c>
      <c r="K434" s="5" t="s">
        <v>1906</v>
      </c>
      <c r="L434" s="5" t="s">
        <v>530</v>
      </c>
    </row>
    <row r="435">
      <c r="A435" s="1" t="s">
        <v>1907</v>
      </c>
      <c r="B435" s="5" t="s">
        <v>1908</v>
      </c>
      <c r="C435" s="5" t="s">
        <v>53</v>
      </c>
      <c r="D435" s="5" t="s">
        <v>1909</v>
      </c>
      <c r="E435" s="36">
        <v>37435.0</v>
      </c>
      <c r="F435" s="5">
        <v>6.28953015074E12</v>
      </c>
      <c r="G435" s="1" t="s">
        <v>1910</v>
      </c>
      <c r="H435" s="5" t="s">
        <v>474</v>
      </c>
      <c r="I435" s="5" t="s">
        <v>57</v>
      </c>
      <c r="J435" s="5" t="s">
        <v>248</v>
      </c>
      <c r="K435" s="5" t="s">
        <v>1911</v>
      </c>
      <c r="L435" s="5" t="s">
        <v>1912</v>
      </c>
    </row>
    <row r="436">
      <c r="A436" s="1" t="s">
        <v>1913</v>
      </c>
      <c r="B436" s="5" t="s">
        <v>1914</v>
      </c>
      <c r="C436" s="5" t="s">
        <v>76</v>
      </c>
      <c r="D436" s="5" t="s">
        <v>537</v>
      </c>
      <c r="E436" s="36">
        <v>37852.0</v>
      </c>
      <c r="F436" s="5">
        <v>6.287885755778E12</v>
      </c>
      <c r="G436" s="1" t="s">
        <v>1915</v>
      </c>
      <c r="H436" s="5" t="s">
        <v>544</v>
      </c>
      <c r="I436" s="5" t="s">
        <v>57</v>
      </c>
      <c r="J436" s="5" t="s">
        <v>1217</v>
      </c>
      <c r="K436" s="5" t="s">
        <v>539</v>
      </c>
      <c r="L436" s="5" t="s">
        <v>799</v>
      </c>
    </row>
    <row r="437">
      <c r="A437" s="1" t="s">
        <v>1916</v>
      </c>
      <c r="B437" s="5" t="s">
        <v>1917</v>
      </c>
      <c r="C437" s="5" t="s">
        <v>76</v>
      </c>
      <c r="D437" s="5" t="s">
        <v>1918</v>
      </c>
      <c r="E437" s="35">
        <v>35917.0</v>
      </c>
      <c r="F437" s="5">
        <v>6.281351525327E12</v>
      </c>
      <c r="G437" s="1" t="s">
        <v>1919</v>
      </c>
      <c r="H437" s="5" t="s">
        <v>516</v>
      </c>
      <c r="I437" s="5" t="s">
        <v>57</v>
      </c>
      <c r="J437" s="5" t="s">
        <v>671</v>
      </c>
    </row>
    <row r="438">
      <c r="A438" s="1" t="s">
        <v>1920</v>
      </c>
      <c r="B438" s="5" t="s">
        <v>1921</v>
      </c>
      <c r="C438" s="5" t="s">
        <v>76</v>
      </c>
      <c r="D438" s="5" t="s">
        <v>479</v>
      </c>
      <c r="E438" s="36">
        <v>37159.0</v>
      </c>
      <c r="F438" s="5">
        <v>6.287862334401E12</v>
      </c>
      <c r="G438" s="1" t="s">
        <v>1922</v>
      </c>
      <c r="H438" s="5" t="s">
        <v>293</v>
      </c>
      <c r="I438" s="5" t="s">
        <v>57</v>
      </c>
      <c r="J438" s="5" t="s">
        <v>517</v>
      </c>
      <c r="K438" s="5" t="s">
        <v>848</v>
      </c>
      <c r="L438" s="5" t="s">
        <v>848</v>
      </c>
    </row>
    <row r="439">
      <c r="A439" s="1" t="s">
        <v>1923</v>
      </c>
      <c r="B439" s="5" t="s">
        <v>1924</v>
      </c>
      <c r="C439" s="5" t="s">
        <v>76</v>
      </c>
      <c r="D439" s="5" t="s">
        <v>271</v>
      </c>
      <c r="E439" s="36">
        <v>37811.0</v>
      </c>
      <c r="F439" s="5">
        <v>6.28782172324E12</v>
      </c>
      <c r="G439" s="1" t="s">
        <v>1925</v>
      </c>
      <c r="H439" s="5" t="s">
        <v>544</v>
      </c>
      <c r="I439" s="5" t="s">
        <v>57</v>
      </c>
      <c r="J439" s="5" t="s">
        <v>267</v>
      </c>
      <c r="K439" s="5" t="s">
        <v>1926</v>
      </c>
      <c r="L439" s="5" t="s">
        <v>1926</v>
      </c>
    </row>
    <row r="440">
      <c r="A440" s="1" t="s">
        <v>1927</v>
      </c>
      <c r="B440" s="5" t="s">
        <v>1928</v>
      </c>
      <c r="C440" s="5" t="s">
        <v>53</v>
      </c>
      <c r="D440" s="5" t="s">
        <v>1929</v>
      </c>
      <c r="E440" s="36">
        <v>36124.0</v>
      </c>
      <c r="F440" s="5">
        <v>6.281278565184E12</v>
      </c>
      <c r="G440" s="1" t="s">
        <v>1930</v>
      </c>
      <c r="H440" s="5" t="s">
        <v>293</v>
      </c>
      <c r="I440" s="5" t="s">
        <v>57</v>
      </c>
      <c r="J440" s="5" t="s">
        <v>854</v>
      </c>
      <c r="K440" s="5" t="s">
        <v>848</v>
      </c>
      <c r="L440" s="5" t="s">
        <v>849</v>
      </c>
    </row>
    <row r="441">
      <c r="A441" s="1" t="s">
        <v>1931</v>
      </c>
      <c r="B441" s="5" t="s">
        <v>1932</v>
      </c>
      <c r="C441" s="5" t="s">
        <v>53</v>
      </c>
      <c r="D441" s="5" t="s">
        <v>641</v>
      </c>
      <c r="E441" s="36">
        <v>37449.0</v>
      </c>
      <c r="F441" s="5">
        <v>6.282184960985E12</v>
      </c>
      <c r="G441" s="1" t="s">
        <v>1933</v>
      </c>
      <c r="H441" s="5" t="s">
        <v>544</v>
      </c>
      <c r="I441" s="5" t="s">
        <v>57</v>
      </c>
      <c r="J441" s="5" t="s">
        <v>643</v>
      </c>
      <c r="K441" s="5" t="s">
        <v>529</v>
      </c>
      <c r="L441" s="5" t="s">
        <v>677</v>
      </c>
    </row>
    <row r="442">
      <c r="A442" s="1" t="s">
        <v>1934</v>
      </c>
      <c r="B442" s="5" t="s">
        <v>1935</v>
      </c>
      <c r="C442" s="5" t="s">
        <v>76</v>
      </c>
      <c r="D442" s="5" t="s">
        <v>537</v>
      </c>
      <c r="E442" s="36">
        <v>37842.0</v>
      </c>
      <c r="F442" s="5">
        <v>6.285157442794E12</v>
      </c>
      <c r="G442" s="1" t="s">
        <v>1936</v>
      </c>
      <c r="H442" s="5" t="s">
        <v>544</v>
      </c>
      <c r="I442" s="5" t="s">
        <v>57</v>
      </c>
      <c r="J442" s="5" t="s">
        <v>923</v>
      </c>
      <c r="K442" s="5" t="s">
        <v>1937</v>
      </c>
      <c r="L442" s="5" t="s">
        <v>1938</v>
      </c>
    </row>
    <row r="443">
      <c r="A443" s="1" t="s">
        <v>1939</v>
      </c>
      <c r="B443" s="5" t="s">
        <v>1940</v>
      </c>
      <c r="C443" s="5" t="s">
        <v>76</v>
      </c>
      <c r="D443" s="5" t="s">
        <v>497</v>
      </c>
      <c r="E443" s="36">
        <v>37039.0</v>
      </c>
      <c r="F443" s="5">
        <v>6.281385488951E12</v>
      </c>
      <c r="G443" s="1" t="s">
        <v>1941</v>
      </c>
      <c r="H443" s="5" t="s">
        <v>544</v>
      </c>
      <c r="I443" s="5" t="s">
        <v>57</v>
      </c>
      <c r="J443" s="5" t="s">
        <v>576</v>
      </c>
      <c r="K443" s="5" t="s">
        <v>848</v>
      </c>
      <c r="L443" s="5" t="s">
        <v>848</v>
      </c>
    </row>
    <row r="444">
      <c r="A444" s="1" t="s">
        <v>1942</v>
      </c>
      <c r="B444" s="5" t="s">
        <v>1943</v>
      </c>
      <c r="C444" s="5" t="s">
        <v>76</v>
      </c>
      <c r="D444" s="5" t="s">
        <v>641</v>
      </c>
      <c r="E444" s="36">
        <v>36255.0</v>
      </c>
      <c r="F444" s="5">
        <v>6.281377509602E12</v>
      </c>
      <c r="G444" s="1" t="s">
        <v>1944</v>
      </c>
      <c r="H444" s="5" t="s">
        <v>438</v>
      </c>
      <c r="I444" s="5" t="s">
        <v>57</v>
      </c>
      <c r="J444" s="5" t="s">
        <v>854</v>
      </c>
      <c r="K444" s="5" t="s">
        <v>529</v>
      </c>
      <c r="L444" s="5" t="s">
        <v>692</v>
      </c>
    </row>
    <row r="445">
      <c r="A445" s="1" t="s">
        <v>1945</v>
      </c>
      <c r="B445" s="5" t="s">
        <v>1946</v>
      </c>
      <c r="C445" s="5" t="s">
        <v>76</v>
      </c>
      <c r="D445" s="5" t="s">
        <v>908</v>
      </c>
      <c r="E445" s="36">
        <v>36149.0</v>
      </c>
      <c r="F445" s="5">
        <v>6.281278338883E12</v>
      </c>
      <c r="G445" s="1" t="s">
        <v>1947</v>
      </c>
      <c r="H445" s="5" t="s">
        <v>438</v>
      </c>
      <c r="I445" s="5" t="s">
        <v>57</v>
      </c>
      <c r="J445" s="5" t="s">
        <v>854</v>
      </c>
      <c r="K445" s="5" t="s">
        <v>523</v>
      </c>
      <c r="L445" s="5" t="s">
        <v>577</v>
      </c>
    </row>
    <row r="446">
      <c r="A446" s="1" t="s">
        <v>1948</v>
      </c>
      <c r="B446" s="5" t="s">
        <v>1949</v>
      </c>
      <c r="C446" s="5" t="s">
        <v>53</v>
      </c>
      <c r="D446" s="5" t="s">
        <v>1801</v>
      </c>
      <c r="E446" s="36">
        <v>37682.0</v>
      </c>
      <c r="F446" s="5">
        <v>6.281232029004E12</v>
      </c>
      <c r="G446" s="1" t="s">
        <v>1950</v>
      </c>
      <c r="H446" s="5" t="s">
        <v>544</v>
      </c>
      <c r="I446" s="5" t="s">
        <v>57</v>
      </c>
      <c r="J446" s="5" t="s">
        <v>838</v>
      </c>
      <c r="K446" s="5" t="s">
        <v>539</v>
      </c>
      <c r="L446" s="5" t="s">
        <v>799</v>
      </c>
    </row>
    <row r="447">
      <c r="A447" s="1" t="s">
        <v>1951</v>
      </c>
      <c r="B447" s="5" t="s">
        <v>1952</v>
      </c>
      <c r="C447" s="5" t="s">
        <v>76</v>
      </c>
      <c r="D447" s="5" t="s">
        <v>1415</v>
      </c>
      <c r="E447" s="36">
        <v>37705.0</v>
      </c>
      <c r="F447" s="5">
        <v>6.28968787951E12</v>
      </c>
      <c r="G447" s="1" t="s">
        <v>1953</v>
      </c>
      <c r="H447" s="5" t="s">
        <v>544</v>
      </c>
      <c r="I447" s="5" t="s">
        <v>57</v>
      </c>
      <c r="J447" s="5" t="s">
        <v>506</v>
      </c>
      <c r="K447" s="5" t="s">
        <v>1542</v>
      </c>
      <c r="L447" s="5" t="s">
        <v>883</v>
      </c>
    </row>
    <row r="448">
      <c r="A448" s="1" t="s">
        <v>1954</v>
      </c>
      <c r="B448" s="5" t="s">
        <v>1955</v>
      </c>
      <c r="C448" s="5" t="s">
        <v>76</v>
      </c>
      <c r="D448" s="5" t="s">
        <v>1956</v>
      </c>
      <c r="E448" s="36">
        <v>33157.0</v>
      </c>
      <c r="F448" s="5">
        <v>6.282225157706E12</v>
      </c>
      <c r="G448" s="1" t="s">
        <v>1957</v>
      </c>
      <c r="H448" s="5" t="s">
        <v>1032</v>
      </c>
      <c r="I448" s="5" t="s">
        <v>57</v>
      </c>
      <c r="J448" s="5" t="s">
        <v>952</v>
      </c>
      <c r="K448" s="5" t="s">
        <v>556</v>
      </c>
      <c r="L448" s="5" t="s">
        <v>808</v>
      </c>
    </row>
    <row r="449">
      <c r="A449" s="1" t="s">
        <v>1958</v>
      </c>
      <c r="B449" s="5" t="s">
        <v>1959</v>
      </c>
      <c r="C449" s="5" t="s">
        <v>76</v>
      </c>
      <c r="D449" s="5" t="s">
        <v>1960</v>
      </c>
      <c r="E449" s="36">
        <v>37665.0</v>
      </c>
      <c r="F449" s="5">
        <v>6.285819000213E12</v>
      </c>
      <c r="G449" s="1" t="s">
        <v>1961</v>
      </c>
      <c r="H449" s="5" t="s">
        <v>544</v>
      </c>
      <c r="I449" s="5" t="s">
        <v>57</v>
      </c>
      <c r="J449" s="5" t="s">
        <v>1962</v>
      </c>
      <c r="K449" s="5" t="s">
        <v>1963</v>
      </c>
      <c r="L449" s="5" t="s">
        <v>1964</v>
      </c>
    </row>
    <row r="450">
      <c r="A450" s="1" t="s">
        <v>1965</v>
      </c>
      <c r="B450" s="5" t="s">
        <v>1966</v>
      </c>
      <c r="C450" s="5" t="s">
        <v>53</v>
      </c>
      <c r="D450" s="5" t="s">
        <v>633</v>
      </c>
      <c r="E450" s="36">
        <v>45612.0</v>
      </c>
      <c r="F450" s="5">
        <v>6.285711775796E12</v>
      </c>
      <c r="G450" s="1" t="s">
        <v>1967</v>
      </c>
      <c r="H450" s="5" t="s">
        <v>544</v>
      </c>
      <c r="I450" s="5" t="s">
        <v>57</v>
      </c>
      <c r="J450" s="5" t="s">
        <v>858</v>
      </c>
      <c r="K450" s="5" t="s">
        <v>1288</v>
      </c>
      <c r="L450" s="5" t="s">
        <v>1118</v>
      </c>
    </row>
    <row r="451">
      <c r="A451" s="1" t="s">
        <v>1968</v>
      </c>
      <c r="B451" s="5" t="s">
        <v>1969</v>
      </c>
      <c r="C451" s="5" t="s">
        <v>76</v>
      </c>
      <c r="D451" s="5" t="s">
        <v>637</v>
      </c>
      <c r="E451" s="36">
        <v>38021.0</v>
      </c>
      <c r="F451" s="5">
        <v>6.2895367007781E13</v>
      </c>
      <c r="G451" s="1" t="s">
        <v>1970</v>
      </c>
      <c r="H451" s="5" t="s">
        <v>544</v>
      </c>
      <c r="I451" s="5" t="s">
        <v>57</v>
      </c>
      <c r="J451" s="5" t="s">
        <v>517</v>
      </c>
      <c r="K451" s="5" t="s">
        <v>882</v>
      </c>
      <c r="L451" s="5" t="s">
        <v>883</v>
      </c>
    </row>
    <row r="452">
      <c r="A452" s="1" t="s">
        <v>1971</v>
      </c>
      <c r="B452" s="5" t="s">
        <v>1972</v>
      </c>
      <c r="C452" s="5" t="s">
        <v>76</v>
      </c>
      <c r="D452" s="5" t="s">
        <v>823</v>
      </c>
      <c r="E452" s="36">
        <v>37521.0</v>
      </c>
      <c r="F452" s="5">
        <v>6.281225346583E12</v>
      </c>
      <c r="G452" s="1" t="s">
        <v>1973</v>
      </c>
      <c r="H452" s="5" t="s">
        <v>544</v>
      </c>
      <c r="I452" s="5" t="s">
        <v>57</v>
      </c>
      <c r="J452" s="5" t="s">
        <v>772</v>
      </c>
      <c r="K452" s="5" t="s">
        <v>1626</v>
      </c>
      <c r="L452" s="5" t="s">
        <v>1627</v>
      </c>
    </row>
    <row r="453">
      <c r="A453" s="1" t="s">
        <v>1974</v>
      </c>
      <c r="B453" s="5" t="s">
        <v>1975</v>
      </c>
      <c r="C453" s="5" t="s">
        <v>76</v>
      </c>
      <c r="D453" s="5" t="s">
        <v>1072</v>
      </c>
      <c r="E453" s="36">
        <v>37631.0</v>
      </c>
      <c r="F453" s="5">
        <v>6.285823615884E12</v>
      </c>
      <c r="G453" s="1" t="s">
        <v>1976</v>
      </c>
      <c r="H453" s="5" t="s">
        <v>544</v>
      </c>
      <c r="I453" s="5" t="s">
        <v>57</v>
      </c>
      <c r="J453" s="5" t="s">
        <v>1977</v>
      </c>
      <c r="K453" s="5" t="s">
        <v>910</v>
      </c>
      <c r="L453" s="5" t="s">
        <v>1978</v>
      </c>
    </row>
    <row r="454">
      <c r="A454" s="1" t="s">
        <v>1979</v>
      </c>
      <c r="B454" s="5" t="s">
        <v>1980</v>
      </c>
      <c r="C454" s="5" t="s">
        <v>53</v>
      </c>
      <c r="D454" s="5" t="s">
        <v>1981</v>
      </c>
      <c r="E454" s="36">
        <v>37104.0</v>
      </c>
      <c r="F454" s="5">
        <v>6.2895334153392E13</v>
      </c>
      <c r="G454" s="1" t="s">
        <v>1982</v>
      </c>
      <c r="H454" s="5" t="s">
        <v>293</v>
      </c>
      <c r="I454" s="5" t="s">
        <v>57</v>
      </c>
      <c r="J454" s="5" t="s">
        <v>511</v>
      </c>
      <c r="K454" s="5" t="s">
        <v>1288</v>
      </c>
      <c r="L454" s="5" t="s">
        <v>530</v>
      </c>
    </row>
    <row r="455">
      <c r="A455" s="1" t="s">
        <v>1983</v>
      </c>
      <c r="B455" s="5" t="s">
        <v>1984</v>
      </c>
      <c r="C455" s="5" t="s">
        <v>76</v>
      </c>
      <c r="D455" s="5" t="s">
        <v>1089</v>
      </c>
      <c r="E455" s="36">
        <v>29454.0</v>
      </c>
      <c r="F455" s="5">
        <v>6.28156404941E11</v>
      </c>
      <c r="G455" s="1" t="s">
        <v>1985</v>
      </c>
      <c r="H455" s="5" t="s">
        <v>1986</v>
      </c>
      <c r="I455" s="5" t="s">
        <v>57</v>
      </c>
      <c r="J455" s="5" t="s">
        <v>737</v>
      </c>
      <c r="K455" s="5" t="s">
        <v>523</v>
      </c>
      <c r="L455" s="5" t="s">
        <v>1987</v>
      </c>
    </row>
    <row r="456">
      <c r="A456" s="1" t="s">
        <v>1988</v>
      </c>
      <c r="B456" s="5" t="s">
        <v>1989</v>
      </c>
      <c r="C456" s="5" t="s">
        <v>53</v>
      </c>
      <c r="D456" s="5" t="s">
        <v>724</v>
      </c>
      <c r="E456" s="36">
        <v>32931.0</v>
      </c>
      <c r="F456" s="5">
        <v>6.285264650733E12</v>
      </c>
      <c r="G456" s="1" t="s">
        <v>1990</v>
      </c>
      <c r="H456" s="5" t="s">
        <v>190</v>
      </c>
      <c r="I456" s="5" t="s">
        <v>57</v>
      </c>
      <c r="J456" s="5" t="s">
        <v>1991</v>
      </c>
      <c r="K456" s="5" t="s">
        <v>1992</v>
      </c>
      <c r="L456" s="5" t="s">
        <v>1993</v>
      </c>
    </row>
    <row r="457">
      <c r="A457" s="1" t="s">
        <v>1994</v>
      </c>
      <c r="B457" s="5" t="s">
        <v>1995</v>
      </c>
      <c r="C457" s="5" t="s">
        <v>53</v>
      </c>
      <c r="D457" s="5" t="s">
        <v>1382</v>
      </c>
      <c r="E457" s="36">
        <v>37601.0</v>
      </c>
      <c r="F457" s="5">
        <v>6.281216883633E12</v>
      </c>
      <c r="G457" s="1" t="s">
        <v>1996</v>
      </c>
      <c r="H457" s="5" t="s">
        <v>544</v>
      </c>
      <c r="I457" s="5" t="s">
        <v>57</v>
      </c>
      <c r="J457" s="5" t="s">
        <v>1060</v>
      </c>
      <c r="K457" s="5" t="s">
        <v>1997</v>
      </c>
      <c r="L457" s="5" t="s">
        <v>1816</v>
      </c>
    </row>
    <row r="458">
      <c r="A458" s="1" t="s">
        <v>1998</v>
      </c>
      <c r="B458" s="5" t="s">
        <v>1999</v>
      </c>
      <c r="C458" s="5" t="s">
        <v>76</v>
      </c>
      <c r="D458" s="5" t="s">
        <v>271</v>
      </c>
      <c r="E458" s="36">
        <v>37637.0</v>
      </c>
      <c r="F458" s="5">
        <v>6.28112121962E11</v>
      </c>
      <c r="G458" s="1" t="s">
        <v>2000</v>
      </c>
      <c r="H458" s="5" t="s">
        <v>474</v>
      </c>
      <c r="I458" s="5" t="s">
        <v>57</v>
      </c>
      <c r="J458" s="5" t="s">
        <v>1142</v>
      </c>
      <c r="K458" s="5" t="s">
        <v>529</v>
      </c>
      <c r="L458" s="5" t="s">
        <v>530</v>
      </c>
    </row>
    <row r="459">
      <c r="A459" s="1" t="s">
        <v>2001</v>
      </c>
      <c r="B459" s="5" t="s">
        <v>2002</v>
      </c>
      <c r="C459" s="5" t="s">
        <v>53</v>
      </c>
      <c r="D459" s="5" t="s">
        <v>479</v>
      </c>
      <c r="E459" s="36">
        <v>37175.0</v>
      </c>
      <c r="F459" s="5">
        <v>6.285326692706E12</v>
      </c>
      <c r="G459" s="1" t="s">
        <v>2003</v>
      </c>
      <c r="H459" s="5" t="s">
        <v>544</v>
      </c>
      <c r="I459" s="5" t="s">
        <v>57</v>
      </c>
      <c r="J459" s="5" t="s">
        <v>858</v>
      </c>
      <c r="K459" s="5" t="s">
        <v>523</v>
      </c>
      <c r="L459" s="5" t="s">
        <v>1309</v>
      </c>
    </row>
    <row r="460">
      <c r="A460" s="1" t="s">
        <v>2004</v>
      </c>
      <c r="B460" s="5" t="s">
        <v>2005</v>
      </c>
      <c r="C460" s="5" t="s">
        <v>53</v>
      </c>
      <c r="D460" s="5" t="s">
        <v>2006</v>
      </c>
      <c r="E460" s="36">
        <v>37963.0</v>
      </c>
      <c r="F460" s="5">
        <v>6.282259551108E12</v>
      </c>
      <c r="G460" s="1" t="s">
        <v>2007</v>
      </c>
      <c r="H460" s="5" t="s">
        <v>544</v>
      </c>
      <c r="I460" s="5" t="s">
        <v>57</v>
      </c>
      <c r="J460" s="5" t="s">
        <v>787</v>
      </c>
      <c r="K460" s="5" t="s">
        <v>556</v>
      </c>
      <c r="L460" s="5" t="s">
        <v>808</v>
      </c>
    </row>
    <row r="461">
      <c r="A461" s="1" t="s">
        <v>2008</v>
      </c>
      <c r="B461" s="5" t="s">
        <v>2009</v>
      </c>
      <c r="C461" s="5" t="s">
        <v>53</v>
      </c>
      <c r="D461" s="5" t="s">
        <v>633</v>
      </c>
      <c r="E461" s="36">
        <v>36034.0</v>
      </c>
      <c r="F461" s="5">
        <v>6.28573214595E12</v>
      </c>
      <c r="G461" s="1" t="s">
        <v>2010</v>
      </c>
      <c r="H461" s="5" t="s">
        <v>438</v>
      </c>
      <c r="I461" s="5" t="s">
        <v>57</v>
      </c>
      <c r="J461" s="5" t="s">
        <v>482</v>
      </c>
      <c r="K461" s="5" t="s">
        <v>529</v>
      </c>
      <c r="L461" s="5" t="s">
        <v>817</v>
      </c>
    </row>
    <row r="462">
      <c r="A462" s="1" t="s">
        <v>2011</v>
      </c>
      <c r="B462" s="5" t="s">
        <v>2012</v>
      </c>
      <c r="C462" s="5" t="s">
        <v>76</v>
      </c>
      <c r="D462" s="5" t="s">
        <v>520</v>
      </c>
      <c r="E462" s="36">
        <v>36869.0</v>
      </c>
      <c r="F462" s="5">
        <v>6.28121482439E12</v>
      </c>
      <c r="G462" s="1" t="s">
        <v>2013</v>
      </c>
      <c r="H462" s="5" t="s">
        <v>293</v>
      </c>
      <c r="I462" s="5" t="s">
        <v>57</v>
      </c>
      <c r="J462" s="5" t="s">
        <v>267</v>
      </c>
      <c r="K462" s="5" t="s">
        <v>500</v>
      </c>
      <c r="L462" s="5" t="s">
        <v>501</v>
      </c>
    </row>
    <row r="463">
      <c r="A463" s="1" t="s">
        <v>2014</v>
      </c>
      <c r="B463" s="5" t="s">
        <v>2015</v>
      </c>
      <c r="C463" s="5" t="s">
        <v>53</v>
      </c>
      <c r="D463" s="5" t="s">
        <v>972</v>
      </c>
      <c r="E463" s="36">
        <v>37488.0</v>
      </c>
      <c r="F463" s="5">
        <v>6.28129119721E12</v>
      </c>
      <c r="G463" s="1" t="s">
        <v>2016</v>
      </c>
      <c r="H463" s="5" t="s">
        <v>544</v>
      </c>
      <c r="I463" s="5" t="s">
        <v>57</v>
      </c>
      <c r="J463" s="5" t="s">
        <v>1142</v>
      </c>
      <c r="K463" s="5" t="s">
        <v>2017</v>
      </c>
      <c r="L463" s="5" t="s">
        <v>1192</v>
      </c>
    </row>
    <row r="464">
      <c r="A464" s="1" t="s">
        <v>2018</v>
      </c>
      <c r="B464" s="5" t="s">
        <v>2019</v>
      </c>
      <c r="C464" s="5" t="s">
        <v>53</v>
      </c>
      <c r="D464" s="5" t="s">
        <v>373</v>
      </c>
      <c r="E464" s="36">
        <v>37451.0</v>
      </c>
      <c r="F464" s="5">
        <v>6.22277654235E11</v>
      </c>
      <c r="G464" s="1" t="s">
        <v>2020</v>
      </c>
      <c r="H464" s="5" t="s">
        <v>544</v>
      </c>
      <c r="I464" s="5" t="s">
        <v>57</v>
      </c>
      <c r="J464" s="5" t="s">
        <v>1048</v>
      </c>
      <c r="K464" s="5" t="s">
        <v>848</v>
      </c>
      <c r="L464" s="5" t="s">
        <v>849</v>
      </c>
    </row>
    <row r="465">
      <c r="A465" s="1" t="s">
        <v>2021</v>
      </c>
      <c r="B465" s="5" t="s">
        <v>2022</v>
      </c>
      <c r="C465" s="5" t="s">
        <v>53</v>
      </c>
      <c r="D465" s="5" t="s">
        <v>271</v>
      </c>
      <c r="E465" s="36">
        <v>37558.0</v>
      </c>
      <c r="F465" s="5">
        <v>6.283817796391E12</v>
      </c>
      <c r="G465" s="1" t="s">
        <v>2023</v>
      </c>
      <c r="H465" s="5" t="s">
        <v>544</v>
      </c>
      <c r="I465" s="5" t="s">
        <v>57</v>
      </c>
      <c r="J465" s="5" t="s">
        <v>2024</v>
      </c>
      <c r="K465" s="5" t="s">
        <v>529</v>
      </c>
      <c r="L465" s="5" t="s">
        <v>530</v>
      </c>
    </row>
    <row r="466">
      <c r="A466" s="1" t="s">
        <v>2025</v>
      </c>
      <c r="B466" s="5" t="s">
        <v>2026</v>
      </c>
      <c r="C466" s="5" t="s">
        <v>76</v>
      </c>
      <c r="D466" s="5" t="s">
        <v>869</v>
      </c>
      <c r="E466" s="35">
        <v>34658.0</v>
      </c>
      <c r="F466" s="5">
        <v>6.281135817E11</v>
      </c>
      <c r="G466" s="1" t="s">
        <v>2027</v>
      </c>
      <c r="H466" s="5" t="s">
        <v>649</v>
      </c>
      <c r="I466" s="5" t="s">
        <v>57</v>
      </c>
      <c r="J466" s="5" t="s">
        <v>682</v>
      </c>
    </row>
    <row r="467">
      <c r="A467" s="1" t="s">
        <v>2028</v>
      </c>
      <c r="B467" s="5" t="s">
        <v>2029</v>
      </c>
      <c r="C467" s="5" t="s">
        <v>76</v>
      </c>
      <c r="D467" s="5" t="s">
        <v>1039</v>
      </c>
      <c r="E467" s="36">
        <v>37698.0</v>
      </c>
      <c r="F467" s="5">
        <v>6.286727441357E12</v>
      </c>
      <c r="G467" s="1" t="s">
        <v>2030</v>
      </c>
      <c r="H467" s="5" t="s">
        <v>544</v>
      </c>
      <c r="I467" s="5" t="s">
        <v>57</v>
      </c>
      <c r="J467" s="5" t="s">
        <v>984</v>
      </c>
      <c r="K467" s="5" t="s">
        <v>523</v>
      </c>
      <c r="L467" s="5" t="s">
        <v>2031</v>
      </c>
    </row>
    <row r="468">
      <c r="A468" s="1" t="s">
        <v>2032</v>
      </c>
      <c r="B468" s="5" t="s">
        <v>2033</v>
      </c>
      <c r="C468" s="5" t="s">
        <v>53</v>
      </c>
      <c r="D468" s="5" t="s">
        <v>994</v>
      </c>
      <c r="E468" s="36">
        <v>45631.0</v>
      </c>
      <c r="F468" s="5">
        <v>6.28585690352E12</v>
      </c>
      <c r="G468" s="1" t="s">
        <v>2034</v>
      </c>
      <c r="H468" s="5" t="s">
        <v>544</v>
      </c>
      <c r="I468" s="5" t="s">
        <v>57</v>
      </c>
      <c r="J468" s="5" t="s">
        <v>996</v>
      </c>
      <c r="K468" s="5" t="s">
        <v>529</v>
      </c>
      <c r="L468" s="5" t="s">
        <v>927</v>
      </c>
    </row>
    <row r="469">
      <c r="A469" s="1" t="s">
        <v>2035</v>
      </c>
      <c r="B469" s="5" t="s">
        <v>2036</v>
      </c>
      <c r="C469" s="5" t="s">
        <v>53</v>
      </c>
      <c r="D469" s="5" t="s">
        <v>950</v>
      </c>
      <c r="E469" s="36">
        <v>37246.0</v>
      </c>
      <c r="F469" s="5">
        <v>6.282317459326E12</v>
      </c>
      <c r="G469" s="1" t="s">
        <v>2037</v>
      </c>
      <c r="H469" s="5" t="s">
        <v>544</v>
      </c>
      <c r="I469" s="5" t="s">
        <v>57</v>
      </c>
      <c r="J469" s="5" t="s">
        <v>482</v>
      </c>
      <c r="K469" s="5" t="s">
        <v>529</v>
      </c>
      <c r="L469" s="5" t="s">
        <v>530</v>
      </c>
    </row>
    <row r="470">
      <c r="A470" s="1" t="s">
        <v>2038</v>
      </c>
      <c r="B470" s="5" t="s">
        <v>2039</v>
      </c>
      <c r="C470" s="5" t="s">
        <v>53</v>
      </c>
      <c r="D470" s="5" t="s">
        <v>637</v>
      </c>
      <c r="E470" s="36">
        <v>37436.0</v>
      </c>
      <c r="F470" s="5">
        <v>6.281332071216E12</v>
      </c>
      <c r="G470" s="1" t="s">
        <v>2040</v>
      </c>
      <c r="H470" s="5" t="s">
        <v>544</v>
      </c>
      <c r="I470" s="5" t="s">
        <v>562</v>
      </c>
      <c r="J470" s="5" t="s">
        <v>996</v>
      </c>
      <c r="K470" s="5" t="s">
        <v>2041</v>
      </c>
      <c r="L470" s="5" t="s">
        <v>2042</v>
      </c>
    </row>
    <row r="471">
      <c r="A471" s="1" t="s">
        <v>2043</v>
      </c>
      <c r="B471" s="5" t="s">
        <v>2044</v>
      </c>
      <c r="C471" s="5" t="s">
        <v>76</v>
      </c>
      <c r="D471" s="5" t="s">
        <v>271</v>
      </c>
      <c r="E471" s="36">
        <v>37605.0</v>
      </c>
      <c r="F471" s="5">
        <v>6.289512779442E12</v>
      </c>
      <c r="G471" s="1" t="s">
        <v>2045</v>
      </c>
      <c r="H471" s="5" t="s">
        <v>544</v>
      </c>
      <c r="I471" s="5" t="s">
        <v>57</v>
      </c>
      <c r="J471" s="5" t="s">
        <v>267</v>
      </c>
      <c r="K471" s="5" t="s">
        <v>2046</v>
      </c>
      <c r="L471" s="5" t="s">
        <v>2047</v>
      </c>
    </row>
    <row r="472">
      <c r="A472" s="1" t="s">
        <v>2048</v>
      </c>
      <c r="B472" s="5" t="s">
        <v>2049</v>
      </c>
      <c r="C472" s="5" t="s">
        <v>76</v>
      </c>
      <c r="D472" s="5" t="s">
        <v>1089</v>
      </c>
      <c r="E472" s="36">
        <v>37807.0</v>
      </c>
      <c r="F472" s="5">
        <v>6.2882000583282E13</v>
      </c>
      <c r="G472" s="1" t="s">
        <v>2050</v>
      </c>
      <c r="H472" s="5" t="s">
        <v>544</v>
      </c>
      <c r="I472" s="5" t="s">
        <v>57</v>
      </c>
      <c r="J472" s="5" t="s">
        <v>267</v>
      </c>
      <c r="K472" s="5" t="s">
        <v>2051</v>
      </c>
      <c r="L472" s="5" t="s">
        <v>2052</v>
      </c>
    </row>
    <row r="473">
      <c r="A473" s="1" t="s">
        <v>2053</v>
      </c>
      <c r="B473" s="5" t="s">
        <v>2054</v>
      </c>
      <c r="C473" s="5" t="s">
        <v>76</v>
      </c>
      <c r="D473" s="5" t="s">
        <v>298</v>
      </c>
      <c r="E473" s="36">
        <v>31537.0</v>
      </c>
      <c r="F473" s="5">
        <v>6.285700045702E12</v>
      </c>
      <c r="G473" s="1" t="s">
        <v>2055</v>
      </c>
      <c r="H473" s="5" t="s">
        <v>1448</v>
      </c>
      <c r="I473" s="5" t="s">
        <v>57</v>
      </c>
      <c r="J473" s="5" t="s">
        <v>475</v>
      </c>
      <c r="K473" s="5" t="s">
        <v>672</v>
      </c>
      <c r="L473" s="5" t="s">
        <v>2056</v>
      </c>
    </row>
    <row r="474">
      <c r="A474" s="1" t="s">
        <v>2057</v>
      </c>
      <c r="B474" s="5" t="s">
        <v>2058</v>
      </c>
      <c r="C474" s="5" t="s">
        <v>53</v>
      </c>
      <c r="D474" s="5" t="s">
        <v>271</v>
      </c>
      <c r="E474" s="36">
        <v>36812.0</v>
      </c>
      <c r="F474" s="5">
        <v>6.285840774663E12</v>
      </c>
      <c r="G474" s="1" t="s">
        <v>2059</v>
      </c>
      <c r="H474" s="5" t="s">
        <v>544</v>
      </c>
      <c r="I474" s="5" t="s">
        <v>57</v>
      </c>
      <c r="J474" s="5" t="s">
        <v>267</v>
      </c>
      <c r="K474" s="5" t="s">
        <v>2060</v>
      </c>
      <c r="L474" s="5" t="s">
        <v>2061</v>
      </c>
    </row>
    <row r="475">
      <c r="A475" s="1" t="s">
        <v>2062</v>
      </c>
      <c r="B475" s="5" t="s">
        <v>2063</v>
      </c>
      <c r="C475" s="5" t="s">
        <v>53</v>
      </c>
      <c r="D475" s="5" t="s">
        <v>537</v>
      </c>
      <c r="E475" s="35">
        <v>31829.0</v>
      </c>
      <c r="F475" s="5">
        <v>6.282221481202E12</v>
      </c>
      <c r="G475" s="1" t="s">
        <v>2064</v>
      </c>
      <c r="H475" s="5" t="s">
        <v>1448</v>
      </c>
      <c r="I475" s="5" t="s">
        <v>57</v>
      </c>
      <c r="J475" s="5" t="s">
        <v>475</v>
      </c>
    </row>
    <row r="476">
      <c r="A476" s="1" t="s">
        <v>2065</v>
      </c>
      <c r="B476" s="5" t="s">
        <v>2066</v>
      </c>
      <c r="C476" s="5" t="s">
        <v>53</v>
      </c>
      <c r="D476" s="5" t="s">
        <v>968</v>
      </c>
      <c r="E476" s="36">
        <v>37676.0</v>
      </c>
      <c r="F476" s="5">
        <v>6.28872580931E11</v>
      </c>
      <c r="G476" s="1" t="s">
        <v>2067</v>
      </c>
      <c r="H476" s="5" t="s">
        <v>544</v>
      </c>
      <c r="I476" s="5" t="s">
        <v>562</v>
      </c>
      <c r="J476" s="5" t="s">
        <v>506</v>
      </c>
      <c r="K476" s="5" t="s">
        <v>2068</v>
      </c>
      <c r="L476" s="5" t="s">
        <v>592</v>
      </c>
    </row>
    <row r="477">
      <c r="A477" s="1" t="s">
        <v>2069</v>
      </c>
      <c r="B477" s="5" t="s">
        <v>2070</v>
      </c>
      <c r="C477" s="5" t="s">
        <v>53</v>
      </c>
      <c r="D477" s="5" t="s">
        <v>537</v>
      </c>
      <c r="E477" s="35">
        <v>34384.0</v>
      </c>
      <c r="F477" s="5">
        <v>6.287787240719E12</v>
      </c>
      <c r="G477" s="1" t="s">
        <v>2071</v>
      </c>
      <c r="H477" s="5" t="s">
        <v>661</v>
      </c>
      <c r="I477" s="5" t="s">
        <v>57</v>
      </c>
      <c r="J477" s="5" t="s">
        <v>248</v>
      </c>
    </row>
    <row r="478">
      <c r="A478" s="1" t="s">
        <v>2072</v>
      </c>
      <c r="B478" s="5" t="s">
        <v>2073</v>
      </c>
      <c r="C478" s="5" t="s">
        <v>76</v>
      </c>
      <c r="D478" s="5" t="s">
        <v>573</v>
      </c>
      <c r="E478" s="36">
        <v>37942.0</v>
      </c>
      <c r="F478" s="5">
        <v>6.282391262557E12</v>
      </c>
      <c r="G478" s="1" t="s">
        <v>2074</v>
      </c>
      <c r="H478" s="5" t="s">
        <v>544</v>
      </c>
      <c r="I478" s="5" t="s">
        <v>57</v>
      </c>
      <c r="J478" s="5" t="s">
        <v>309</v>
      </c>
      <c r="K478" s="5" t="s">
        <v>523</v>
      </c>
      <c r="L478" s="5" t="s">
        <v>524</v>
      </c>
    </row>
    <row r="479">
      <c r="A479" s="1" t="s">
        <v>2075</v>
      </c>
      <c r="B479" s="5" t="s">
        <v>2076</v>
      </c>
      <c r="C479" s="5" t="s">
        <v>53</v>
      </c>
      <c r="D479" s="5" t="s">
        <v>537</v>
      </c>
      <c r="E479" s="36">
        <v>37379.0</v>
      </c>
      <c r="F479" s="5">
        <v>6.28121044308E12</v>
      </c>
      <c r="G479" s="1" t="s">
        <v>2077</v>
      </c>
      <c r="H479" s="5" t="s">
        <v>544</v>
      </c>
      <c r="I479" s="5" t="s">
        <v>57</v>
      </c>
      <c r="J479" s="5" t="s">
        <v>813</v>
      </c>
      <c r="K479" s="5" t="s">
        <v>523</v>
      </c>
      <c r="L479" s="5" t="s">
        <v>746</v>
      </c>
    </row>
    <row r="480">
      <c r="A480" s="1" t="s">
        <v>2078</v>
      </c>
      <c r="B480" s="5" t="s">
        <v>2079</v>
      </c>
      <c r="C480" s="5" t="s">
        <v>76</v>
      </c>
      <c r="D480" s="5" t="s">
        <v>968</v>
      </c>
      <c r="E480" s="36">
        <v>37586.0</v>
      </c>
      <c r="F480" s="5">
        <v>6.285105045995E12</v>
      </c>
      <c r="G480" s="1" t="s">
        <v>2080</v>
      </c>
      <c r="H480" s="5" t="s">
        <v>544</v>
      </c>
      <c r="I480" s="5" t="s">
        <v>57</v>
      </c>
      <c r="J480" s="5" t="s">
        <v>506</v>
      </c>
      <c r="K480" s="5" t="s">
        <v>697</v>
      </c>
      <c r="L480" s="5" t="s">
        <v>697</v>
      </c>
    </row>
    <row r="481">
      <c r="A481" s="1" t="s">
        <v>2081</v>
      </c>
      <c r="B481" s="5" t="s">
        <v>2082</v>
      </c>
      <c r="C481" s="5" t="s">
        <v>53</v>
      </c>
      <c r="D481" s="5" t="s">
        <v>2083</v>
      </c>
      <c r="E481" s="36">
        <v>37860.0</v>
      </c>
      <c r="F481" s="5">
        <v>6.285835564866E12</v>
      </c>
      <c r="G481" s="1" t="s">
        <v>2084</v>
      </c>
      <c r="H481" s="5" t="s">
        <v>544</v>
      </c>
      <c r="I481" s="5" t="s">
        <v>57</v>
      </c>
      <c r="J481" s="5" t="s">
        <v>309</v>
      </c>
      <c r="K481" s="5" t="s">
        <v>1542</v>
      </c>
      <c r="L481" s="5" t="s">
        <v>2085</v>
      </c>
    </row>
    <row r="482">
      <c r="A482" s="1" t="s">
        <v>2086</v>
      </c>
      <c r="B482" s="5" t="s">
        <v>2087</v>
      </c>
      <c r="C482" s="5" t="s">
        <v>76</v>
      </c>
      <c r="D482" s="5" t="s">
        <v>869</v>
      </c>
      <c r="E482" s="36">
        <v>37765.0</v>
      </c>
      <c r="F482" s="5">
        <v>6.285937022706E12</v>
      </c>
      <c r="G482" s="1" t="s">
        <v>2088</v>
      </c>
      <c r="H482" s="5" t="s">
        <v>544</v>
      </c>
      <c r="I482" s="5" t="s">
        <v>57</v>
      </c>
      <c r="J482" s="5" t="s">
        <v>772</v>
      </c>
      <c r="K482" s="5" t="s">
        <v>1138</v>
      </c>
      <c r="L482" s="5" t="s">
        <v>1118</v>
      </c>
    </row>
    <row r="483">
      <c r="A483" s="1" t="s">
        <v>2089</v>
      </c>
      <c r="B483" s="5" t="s">
        <v>2090</v>
      </c>
      <c r="C483" s="5" t="s">
        <v>53</v>
      </c>
      <c r="D483" s="5" t="s">
        <v>2091</v>
      </c>
      <c r="E483" s="35">
        <v>36890.0</v>
      </c>
      <c r="F483" s="5">
        <v>6.282232149414E12</v>
      </c>
      <c r="G483" s="1" t="s">
        <v>2092</v>
      </c>
      <c r="H483" s="5" t="s">
        <v>293</v>
      </c>
      <c r="I483" s="5" t="s">
        <v>562</v>
      </c>
      <c r="J483" s="5" t="s">
        <v>506</v>
      </c>
    </row>
    <row r="484">
      <c r="A484" s="1" t="s">
        <v>2093</v>
      </c>
      <c r="B484" s="5" t="s">
        <v>2094</v>
      </c>
      <c r="C484" s="5" t="s">
        <v>76</v>
      </c>
      <c r="D484" s="5" t="s">
        <v>781</v>
      </c>
      <c r="E484" s="36">
        <v>37305.0</v>
      </c>
      <c r="F484" s="5">
        <v>6.28119999553E11</v>
      </c>
      <c r="G484" s="1" t="s">
        <v>2095</v>
      </c>
      <c r="H484" s="5" t="s">
        <v>544</v>
      </c>
      <c r="I484" s="5" t="s">
        <v>57</v>
      </c>
      <c r="J484" s="5" t="s">
        <v>1409</v>
      </c>
      <c r="K484" s="5" t="s">
        <v>697</v>
      </c>
      <c r="L484" s="5" t="s">
        <v>697</v>
      </c>
    </row>
    <row r="485">
      <c r="A485" s="1" t="s">
        <v>2096</v>
      </c>
      <c r="B485" s="5" t="s">
        <v>2097</v>
      </c>
      <c r="C485" s="5" t="s">
        <v>53</v>
      </c>
      <c r="D485" s="5" t="s">
        <v>472</v>
      </c>
      <c r="E485" s="36">
        <v>31188.0</v>
      </c>
      <c r="F485" s="5">
        <v>6.2816665671E10</v>
      </c>
      <c r="G485" s="1" t="s">
        <v>2098</v>
      </c>
      <c r="H485" s="5" t="s">
        <v>1448</v>
      </c>
      <c r="I485" s="5" t="s">
        <v>57</v>
      </c>
      <c r="J485" s="5" t="s">
        <v>475</v>
      </c>
      <c r="K485" s="5" t="s">
        <v>672</v>
      </c>
      <c r="L485" s="5" t="s">
        <v>1036</v>
      </c>
    </row>
    <row r="486">
      <c r="A486" s="1" t="s">
        <v>2099</v>
      </c>
      <c r="B486" s="5" t="s">
        <v>2100</v>
      </c>
      <c r="C486" s="5" t="s">
        <v>53</v>
      </c>
      <c r="D486" s="5" t="s">
        <v>968</v>
      </c>
      <c r="E486" s="36">
        <v>31758.0</v>
      </c>
      <c r="F486" s="5">
        <v>6.2811329465E10</v>
      </c>
      <c r="G486" s="1" t="s">
        <v>2101</v>
      </c>
      <c r="H486" s="5" t="s">
        <v>1448</v>
      </c>
      <c r="I486" s="5" t="s">
        <v>57</v>
      </c>
      <c r="J486" s="5" t="s">
        <v>506</v>
      </c>
      <c r="K486" s="5" t="s">
        <v>931</v>
      </c>
      <c r="L486" s="5" t="s">
        <v>2102</v>
      </c>
    </row>
    <row r="487">
      <c r="A487" s="1" t="s">
        <v>2103</v>
      </c>
      <c r="B487" s="5" t="s">
        <v>2104</v>
      </c>
      <c r="C487" s="5" t="s">
        <v>53</v>
      </c>
      <c r="D487" s="5" t="s">
        <v>271</v>
      </c>
      <c r="E487" s="35">
        <v>36110.0</v>
      </c>
      <c r="F487" s="5">
        <v>6.28212587412E12</v>
      </c>
      <c r="G487" s="1" t="s">
        <v>2105</v>
      </c>
      <c r="H487" s="5" t="s">
        <v>516</v>
      </c>
      <c r="I487" s="5" t="s">
        <v>57</v>
      </c>
      <c r="J487" s="5" t="s">
        <v>522</v>
      </c>
    </row>
    <row r="488">
      <c r="A488" s="1" t="s">
        <v>2106</v>
      </c>
      <c r="B488" s="5" t="s">
        <v>2107</v>
      </c>
      <c r="C488" s="5" t="s">
        <v>76</v>
      </c>
      <c r="D488" s="5" t="s">
        <v>533</v>
      </c>
      <c r="E488" s="36">
        <v>37883.0</v>
      </c>
      <c r="F488" s="5">
        <v>6.282148763684E12</v>
      </c>
      <c r="G488" s="1" t="s">
        <v>2108</v>
      </c>
      <c r="H488" s="5" t="s">
        <v>544</v>
      </c>
      <c r="I488" s="5" t="s">
        <v>57</v>
      </c>
      <c r="J488" s="5" t="s">
        <v>482</v>
      </c>
      <c r="K488" s="5" t="s">
        <v>848</v>
      </c>
      <c r="L488" s="5" t="s">
        <v>849</v>
      </c>
    </row>
    <row r="489">
      <c r="A489" s="1" t="s">
        <v>2109</v>
      </c>
      <c r="B489" s="5" t="s">
        <v>2110</v>
      </c>
      <c r="C489" s="5" t="s">
        <v>76</v>
      </c>
      <c r="D489" s="5" t="s">
        <v>271</v>
      </c>
      <c r="E489" s="36">
        <v>37933.0</v>
      </c>
      <c r="F489" s="5">
        <v>6.282118356215E12</v>
      </c>
      <c r="G489" s="1" t="s">
        <v>2111</v>
      </c>
      <c r="H489" s="5" t="s">
        <v>544</v>
      </c>
      <c r="I489" s="5" t="s">
        <v>57</v>
      </c>
      <c r="J489" s="5" t="s">
        <v>792</v>
      </c>
      <c r="K489" s="5" t="s">
        <v>500</v>
      </c>
      <c r="L489" s="5" t="s">
        <v>1747</v>
      </c>
    </row>
    <row r="490">
      <c r="A490" s="1" t="s">
        <v>2112</v>
      </c>
      <c r="B490" s="5" t="s">
        <v>2113</v>
      </c>
      <c r="C490" s="5" t="s">
        <v>76</v>
      </c>
      <c r="D490" s="5" t="s">
        <v>271</v>
      </c>
      <c r="E490" s="36">
        <v>37710.0</v>
      </c>
      <c r="F490" s="5">
        <v>6.281222628282E12</v>
      </c>
      <c r="G490" s="1" t="s">
        <v>2114</v>
      </c>
      <c r="H490" s="5" t="s">
        <v>544</v>
      </c>
      <c r="I490" s="5" t="s">
        <v>57</v>
      </c>
      <c r="J490" s="5" t="s">
        <v>1142</v>
      </c>
      <c r="K490" s="5" t="s">
        <v>500</v>
      </c>
      <c r="L490" s="5" t="s">
        <v>1015</v>
      </c>
    </row>
    <row r="491">
      <c r="A491" s="1" t="s">
        <v>2115</v>
      </c>
      <c r="B491" s="5" t="s">
        <v>2116</v>
      </c>
      <c r="C491" s="5" t="s">
        <v>76</v>
      </c>
      <c r="D491" s="5" t="s">
        <v>271</v>
      </c>
      <c r="E491" s="36">
        <v>37590.0</v>
      </c>
      <c r="F491" s="5">
        <v>6.287883887542E12</v>
      </c>
      <c r="G491" s="1" t="s">
        <v>2117</v>
      </c>
      <c r="H491" s="5" t="s">
        <v>544</v>
      </c>
      <c r="I491" s="5" t="s">
        <v>57</v>
      </c>
      <c r="J491" s="5" t="s">
        <v>792</v>
      </c>
      <c r="K491" s="5" t="s">
        <v>500</v>
      </c>
      <c r="L491" s="5" t="s">
        <v>793</v>
      </c>
    </row>
    <row r="492">
      <c r="A492" s="1" t="s">
        <v>2118</v>
      </c>
      <c r="B492" s="5" t="s">
        <v>2119</v>
      </c>
      <c r="C492" s="5" t="s">
        <v>76</v>
      </c>
      <c r="D492" s="5" t="s">
        <v>633</v>
      </c>
      <c r="E492" s="35">
        <v>34453.0</v>
      </c>
      <c r="F492" s="5">
        <v>6.281290254794E12</v>
      </c>
      <c r="G492" s="1" t="s">
        <v>2120</v>
      </c>
      <c r="H492" s="5" t="s">
        <v>939</v>
      </c>
      <c r="I492" s="5" t="s">
        <v>57</v>
      </c>
      <c r="J492" s="5" t="s">
        <v>1205</v>
      </c>
    </row>
    <row r="493">
      <c r="A493" s="1" t="s">
        <v>2121</v>
      </c>
      <c r="B493" s="5" t="s">
        <v>2122</v>
      </c>
      <c r="C493" s="5" t="s">
        <v>76</v>
      </c>
      <c r="D493" s="5" t="s">
        <v>2123</v>
      </c>
      <c r="E493" s="36">
        <v>37456.0</v>
      </c>
      <c r="F493" s="5">
        <v>6.2878618794E12</v>
      </c>
      <c r="G493" s="1" t="s">
        <v>2124</v>
      </c>
      <c r="H493" s="5" t="s">
        <v>544</v>
      </c>
      <c r="I493" s="5" t="s">
        <v>57</v>
      </c>
      <c r="J493" s="5" t="s">
        <v>555</v>
      </c>
      <c r="K493" s="5" t="s">
        <v>539</v>
      </c>
      <c r="L493" s="5" t="s">
        <v>540</v>
      </c>
    </row>
    <row r="494">
      <c r="A494" s="1" t="s">
        <v>2125</v>
      </c>
      <c r="B494" s="5" t="s">
        <v>2126</v>
      </c>
      <c r="C494" s="5" t="s">
        <v>53</v>
      </c>
      <c r="D494" s="5" t="s">
        <v>373</v>
      </c>
      <c r="E494" s="36">
        <v>37784.0</v>
      </c>
      <c r="F494" s="5">
        <v>6.282165467081E12</v>
      </c>
      <c r="G494" s="1" t="s">
        <v>2127</v>
      </c>
      <c r="H494" s="5" t="s">
        <v>544</v>
      </c>
      <c r="I494" s="5" t="s">
        <v>57</v>
      </c>
      <c r="J494" s="5" t="s">
        <v>1048</v>
      </c>
      <c r="K494" s="5" t="s">
        <v>2128</v>
      </c>
      <c r="L494" s="5" t="s">
        <v>1138</v>
      </c>
    </row>
    <row r="495">
      <c r="A495" s="1" t="s">
        <v>2129</v>
      </c>
      <c r="B495" s="5" t="s">
        <v>2130</v>
      </c>
      <c r="C495" s="5" t="s">
        <v>76</v>
      </c>
      <c r="D495" s="5" t="s">
        <v>537</v>
      </c>
      <c r="E495" s="36">
        <v>38024.0</v>
      </c>
      <c r="F495" s="5">
        <v>6.288743738131E13</v>
      </c>
      <c r="G495" s="1" t="s">
        <v>2131</v>
      </c>
      <c r="H495" s="5" t="s">
        <v>544</v>
      </c>
      <c r="I495" s="5" t="s">
        <v>57</v>
      </c>
      <c r="J495" s="5" t="s">
        <v>854</v>
      </c>
      <c r="K495" s="5" t="s">
        <v>500</v>
      </c>
      <c r="L495" s="5" t="s">
        <v>2132</v>
      </c>
    </row>
    <row r="496">
      <c r="A496" s="1" t="s">
        <v>2133</v>
      </c>
      <c r="B496" s="5" t="s">
        <v>2134</v>
      </c>
      <c r="C496" s="5" t="s">
        <v>76</v>
      </c>
      <c r="D496" s="5" t="s">
        <v>1844</v>
      </c>
      <c r="E496" s="36">
        <v>37204.0</v>
      </c>
      <c r="F496" s="5">
        <v>6.282128417984E12</v>
      </c>
      <c r="G496" s="1" t="s">
        <v>2135</v>
      </c>
      <c r="H496" s="5" t="s">
        <v>544</v>
      </c>
      <c r="I496" s="5" t="s">
        <v>57</v>
      </c>
      <c r="J496" s="5" t="s">
        <v>267</v>
      </c>
      <c r="K496" s="5" t="s">
        <v>2136</v>
      </c>
      <c r="L496" s="5" t="s">
        <v>2137</v>
      </c>
    </row>
    <row r="497">
      <c r="A497" s="1" t="s">
        <v>2138</v>
      </c>
      <c r="B497" s="5" t="s">
        <v>2139</v>
      </c>
      <c r="C497" s="5" t="s">
        <v>53</v>
      </c>
      <c r="D497" s="5" t="s">
        <v>271</v>
      </c>
      <c r="E497" s="36">
        <v>37900.0</v>
      </c>
      <c r="F497" s="5">
        <v>6.287728718436E12</v>
      </c>
      <c r="G497" s="1" t="s">
        <v>2140</v>
      </c>
      <c r="H497" s="5" t="s">
        <v>544</v>
      </c>
      <c r="I497" s="5" t="s">
        <v>57</v>
      </c>
      <c r="J497" s="5" t="s">
        <v>1434</v>
      </c>
      <c r="K497" s="5" t="s">
        <v>848</v>
      </c>
      <c r="L497" s="5" t="s">
        <v>849</v>
      </c>
    </row>
    <row r="498">
      <c r="A498" s="1" t="s">
        <v>2141</v>
      </c>
      <c r="B498" s="5" t="s">
        <v>2142</v>
      </c>
      <c r="C498" s="5" t="s">
        <v>53</v>
      </c>
      <c r="D498" s="5" t="s">
        <v>271</v>
      </c>
      <c r="E498" s="36">
        <v>37611.0</v>
      </c>
      <c r="F498" s="5">
        <v>6.287825672313E12</v>
      </c>
      <c r="G498" s="1" t="s">
        <v>2143</v>
      </c>
      <c r="H498" s="5" t="s">
        <v>544</v>
      </c>
      <c r="I498" s="5" t="s">
        <v>57</v>
      </c>
      <c r="J498" s="5" t="s">
        <v>2024</v>
      </c>
      <c r="K498" s="5" t="s">
        <v>529</v>
      </c>
      <c r="L498" s="5" t="s">
        <v>1359</v>
      </c>
    </row>
    <row r="499">
      <c r="A499" s="1" t="s">
        <v>2144</v>
      </c>
      <c r="B499" s="5" t="s">
        <v>2145</v>
      </c>
      <c r="C499" s="5" t="s">
        <v>76</v>
      </c>
      <c r="D499" s="5" t="s">
        <v>537</v>
      </c>
      <c r="E499" s="36">
        <v>37778.0</v>
      </c>
      <c r="F499" s="5">
        <v>6.281906843169E12</v>
      </c>
      <c r="G499" s="1" t="s">
        <v>2146</v>
      </c>
      <c r="H499" s="5" t="s">
        <v>544</v>
      </c>
      <c r="I499" s="5" t="s">
        <v>57</v>
      </c>
      <c r="J499" s="5" t="s">
        <v>506</v>
      </c>
      <c r="K499" s="5" t="s">
        <v>1288</v>
      </c>
      <c r="L499" s="5" t="s">
        <v>2147</v>
      </c>
    </row>
    <row r="500">
      <c r="A500" s="1" t="s">
        <v>2148</v>
      </c>
      <c r="B500" s="5" t="s">
        <v>2149</v>
      </c>
      <c r="C500" s="5" t="s">
        <v>76</v>
      </c>
      <c r="D500" s="5" t="s">
        <v>968</v>
      </c>
      <c r="E500" s="36">
        <v>37718.0</v>
      </c>
      <c r="F500" s="5">
        <v>6.285853675268E12</v>
      </c>
      <c r="G500" s="1" t="s">
        <v>2150</v>
      </c>
      <c r="H500" s="5" t="s">
        <v>544</v>
      </c>
      <c r="I500" s="5" t="s">
        <v>57</v>
      </c>
      <c r="J500" s="5" t="s">
        <v>506</v>
      </c>
      <c r="K500" s="5" t="s">
        <v>842</v>
      </c>
      <c r="L500" s="5" t="s">
        <v>799</v>
      </c>
    </row>
    <row r="501">
      <c r="A501" s="1" t="s">
        <v>2151</v>
      </c>
      <c r="B501" s="5" t="s">
        <v>2152</v>
      </c>
      <c r="C501" s="5" t="s">
        <v>53</v>
      </c>
      <c r="D501" s="5" t="s">
        <v>2153</v>
      </c>
      <c r="E501" s="36">
        <v>37920.0</v>
      </c>
      <c r="F501" s="5">
        <v>6.285150533627E12</v>
      </c>
      <c r="G501" s="1" t="s">
        <v>2154</v>
      </c>
      <c r="H501" s="5" t="s">
        <v>544</v>
      </c>
      <c r="I501" s="5" t="s">
        <v>57</v>
      </c>
      <c r="J501" s="5" t="s">
        <v>702</v>
      </c>
      <c r="K501" s="5" t="s">
        <v>529</v>
      </c>
      <c r="L501" s="5" t="s">
        <v>2155</v>
      </c>
    </row>
    <row r="502">
      <c r="A502" s="1" t="s">
        <v>2156</v>
      </c>
      <c r="B502" s="5" t="s">
        <v>2157</v>
      </c>
      <c r="C502" s="5" t="s">
        <v>76</v>
      </c>
      <c r="D502" s="5" t="s">
        <v>271</v>
      </c>
      <c r="E502" s="36">
        <v>33210.0</v>
      </c>
      <c r="F502" s="5">
        <v>6.2811210966E11</v>
      </c>
      <c r="G502" s="1" t="s">
        <v>2158</v>
      </c>
      <c r="H502" s="5" t="s">
        <v>1032</v>
      </c>
      <c r="I502" s="5" t="s">
        <v>57</v>
      </c>
      <c r="J502" s="5" t="s">
        <v>707</v>
      </c>
      <c r="K502" s="5" t="s">
        <v>556</v>
      </c>
      <c r="L502" s="5" t="s">
        <v>2159</v>
      </c>
    </row>
    <row r="503">
      <c r="A503" s="1" t="s">
        <v>2160</v>
      </c>
      <c r="B503" s="5" t="s">
        <v>2161</v>
      </c>
      <c r="C503" s="5" t="s">
        <v>53</v>
      </c>
      <c r="D503" s="5" t="s">
        <v>680</v>
      </c>
      <c r="E503" s="36">
        <v>37759.0</v>
      </c>
      <c r="F503" s="5">
        <v>6.28123502692E12</v>
      </c>
      <c r="G503" s="1" t="s">
        <v>2162</v>
      </c>
      <c r="H503" s="5" t="s">
        <v>544</v>
      </c>
      <c r="I503" s="5" t="s">
        <v>562</v>
      </c>
      <c r="J503" s="5" t="s">
        <v>563</v>
      </c>
      <c r="K503" s="5" t="s">
        <v>591</v>
      </c>
      <c r="L503" s="5" t="s">
        <v>592</v>
      </c>
    </row>
    <row r="504">
      <c r="A504" s="1" t="s">
        <v>2163</v>
      </c>
      <c r="B504" s="5" t="s">
        <v>2164</v>
      </c>
      <c r="C504" s="5" t="s">
        <v>53</v>
      </c>
      <c r="D504" s="5" t="s">
        <v>623</v>
      </c>
      <c r="E504" s="36">
        <v>36076.0</v>
      </c>
      <c r="F504" s="5">
        <v>6.281293998433E12</v>
      </c>
      <c r="G504" s="1" t="s">
        <v>2165</v>
      </c>
      <c r="H504" s="5" t="s">
        <v>438</v>
      </c>
      <c r="I504" s="5" t="s">
        <v>57</v>
      </c>
      <c r="J504" s="5" t="s">
        <v>625</v>
      </c>
      <c r="K504" s="5" t="s">
        <v>848</v>
      </c>
      <c r="L504" s="5" t="s">
        <v>849</v>
      </c>
    </row>
    <row r="505">
      <c r="A505" s="1" t="s">
        <v>2166</v>
      </c>
      <c r="B505" s="5" t="s">
        <v>2167</v>
      </c>
      <c r="C505" s="5" t="s">
        <v>76</v>
      </c>
      <c r="D505" s="5" t="s">
        <v>600</v>
      </c>
      <c r="E505" s="36">
        <v>32589.0</v>
      </c>
      <c r="F505" s="5">
        <v>6.28238876202E12</v>
      </c>
      <c r="G505" s="1" t="s">
        <v>2168</v>
      </c>
      <c r="H505" s="5" t="s">
        <v>190</v>
      </c>
      <c r="I505" s="5" t="s">
        <v>57</v>
      </c>
      <c r="J505" s="5" t="s">
        <v>309</v>
      </c>
      <c r="K505" s="5" t="s">
        <v>539</v>
      </c>
      <c r="L505" s="5" t="s">
        <v>799</v>
      </c>
    </row>
    <row r="506">
      <c r="A506" s="1" t="s">
        <v>2169</v>
      </c>
      <c r="B506" s="5" t="s">
        <v>2170</v>
      </c>
      <c r="C506" s="5" t="s">
        <v>76</v>
      </c>
      <c r="D506" s="5" t="s">
        <v>600</v>
      </c>
      <c r="E506" s="35">
        <v>35749.0</v>
      </c>
      <c r="F506" s="5">
        <v>6.285765593905E12</v>
      </c>
      <c r="G506" s="1" t="s">
        <v>2171</v>
      </c>
      <c r="H506" s="5" t="s">
        <v>308</v>
      </c>
      <c r="I506" s="5" t="s">
        <v>57</v>
      </c>
      <c r="J506" s="5" t="s">
        <v>309</v>
      </c>
    </row>
    <row r="507">
      <c r="A507" s="1" t="s">
        <v>2172</v>
      </c>
      <c r="B507" s="5" t="s">
        <v>2173</v>
      </c>
      <c r="C507" s="5" t="s">
        <v>76</v>
      </c>
      <c r="D507" s="5" t="s">
        <v>271</v>
      </c>
      <c r="E507" s="36">
        <v>37236.0</v>
      </c>
      <c r="F507" s="5">
        <v>6.281322921803E12</v>
      </c>
      <c r="G507" s="1" t="s">
        <v>2174</v>
      </c>
      <c r="H507" s="5" t="s">
        <v>544</v>
      </c>
      <c r="I507" s="5" t="s">
        <v>57</v>
      </c>
      <c r="J507" s="5" t="s">
        <v>792</v>
      </c>
      <c r="K507" s="5" t="s">
        <v>697</v>
      </c>
      <c r="L507" s="5" t="s">
        <v>697</v>
      </c>
    </row>
    <row r="508">
      <c r="A508" s="1" t="s">
        <v>2175</v>
      </c>
      <c r="B508" s="5" t="s">
        <v>2176</v>
      </c>
      <c r="C508" s="5" t="s">
        <v>53</v>
      </c>
      <c r="D508" s="5" t="s">
        <v>775</v>
      </c>
      <c r="E508" s="35">
        <v>30207.0</v>
      </c>
      <c r="F508" s="5">
        <v>6.281314023623E12</v>
      </c>
      <c r="G508" s="1" t="s">
        <v>2177</v>
      </c>
      <c r="H508" s="5" t="s">
        <v>2178</v>
      </c>
      <c r="I508" s="5" t="s">
        <v>57</v>
      </c>
      <c r="J508" s="5" t="s">
        <v>482</v>
      </c>
    </row>
    <row r="509">
      <c r="A509" s="1" t="s">
        <v>2179</v>
      </c>
      <c r="B509" s="5" t="s">
        <v>2180</v>
      </c>
      <c r="C509" s="5" t="s">
        <v>53</v>
      </c>
      <c r="D509" s="5" t="s">
        <v>497</v>
      </c>
      <c r="E509" s="35">
        <v>33275.0</v>
      </c>
      <c r="F509" s="5">
        <v>6.281326908062E12</v>
      </c>
      <c r="G509" s="1" t="s">
        <v>2181</v>
      </c>
      <c r="H509" s="5" t="s">
        <v>499</v>
      </c>
      <c r="I509" s="5" t="s">
        <v>57</v>
      </c>
      <c r="J509" s="5" t="s">
        <v>952</v>
      </c>
    </row>
    <row r="510">
      <c r="A510" s="1" t="s">
        <v>2182</v>
      </c>
      <c r="B510" s="5" t="s">
        <v>2183</v>
      </c>
      <c r="C510" s="5" t="s">
        <v>53</v>
      </c>
      <c r="D510" s="5" t="s">
        <v>271</v>
      </c>
      <c r="E510" s="36">
        <v>37776.0</v>
      </c>
      <c r="F510" s="5">
        <v>6.28132216825E12</v>
      </c>
      <c r="G510" s="1" t="s">
        <v>2184</v>
      </c>
      <c r="H510" s="5" t="s">
        <v>544</v>
      </c>
      <c r="I510" s="5" t="s">
        <v>57</v>
      </c>
      <c r="J510" s="5" t="s">
        <v>1097</v>
      </c>
      <c r="K510" s="5" t="s">
        <v>529</v>
      </c>
      <c r="L510" s="5" t="s">
        <v>2185</v>
      </c>
    </row>
    <row r="511">
      <c r="A511" s="1" t="s">
        <v>2186</v>
      </c>
      <c r="B511" s="5" t="s">
        <v>2187</v>
      </c>
      <c r="C511" s="5" t="s">
        <v>76</v>
      </c>
      <c r="D511" s="5" t="s">
        <v>537</v>
      </c>
      <c r="E511" s="36">
        <v>36430.0</v>
      </c>
      <c r="F511" s="5">
        <v>6.281213837528E12</v>
      </c>
      <c r="G511" s="1" t="s">
        <v>2188</v>
      </c>
      <c r="H511" s="5" t="s">
        <v>516</v>
      </c>
      <c r="I511" s="5" t="s">
        <v>57</v>
      </c>
      <c r="J511" s="5" t="s">
        <v>576</v>
      </c>
      <c r="K511" s="5" t="s">
        <v>529</v>
      </c>
      <c r="L511" s="5" t="s">
        <v>2189</v>
      </c>
    </row>
    <row r="512">
      <c r="A512" s="1" t="s">
        <v>2190</v>
      </c>
      <c r="B512" s="5" t="s">
        <v>2191</v>
      </c>
      <c r="C512" s="5" t="s">
        <v>76</v>
      </c>
      <c r="D512" s="5" t="s">
        <v>600</v>
      </c>
      <c r="E512" s="36">
        <v>37213.0</v>
      </c>
      <c r="F512" s="5">
        <v>6.282285156744E12</v>
      </c>
      <c r="G512" s="1" t="s">
        <v>2192</v>
      </c>
      <c r="H512" s="5" t="s">
        <v>293</v>
      </c>
      <c r="I512" s="5" t="s">
        <v>57</v>
      </c>
      <c r="J512" s="5" t="s">
        <v>309</v>
      </c>
      <c r="K512" s="5" t="s">
        <v>529</v>
      </c>
      <c r="L512" s="5" t="s">
        <v>530</v>
      </c>
    </row>
    <row r="513">
      <c r="A513" s="1" t="s">
        <v>2193</v>
      </c>
      <c r="B513" s="5" t="s">
        <v>2194</v>
      </c>
      <c r="C513" s="5" t="s">
        <v>53</v>
      </c>
      <c r="D513" s="5" t="s">
        <v>775</v>
      </c>
      <c r="E513" s="36">
        <v>37494.0</v>
      </c>
      <c r="F513" s="5">
        <v>6.289526553381E12</v>
      </c>
      <c r="G513" s="1" t="s">
        <v>2195</v>
      </c>
      <c r="H513" s="5" t="s">
        <v>544</v>
      </c>
      <c r="I513" s="5" t="s">
        <v>57</v>
      </c>
      <c r="J513" s="5" t="s">
        <v>482</v>
      </c>
      <c r="K513" s="5" t="s">
        <v>672</v>
      </c>
      <c r="L513" s="5" t="s">
        <v>2196</v>
      </c>
    </row>
    <row r="514">
      <c r="A514" s="1" t="s">
        <v>2197</v>
      </c>
      <c r="B514" s="5" t="s">
        <v>2198</v>
      </c>
      <c r="C514" s="5" t="s">
        <v>53</v>
      </c>
      <c r="D514" s="5" t="s">
        <v>2199</v>
      </c>
      <c r="E514" s="36">
        <v>33669.0</v>
      </c>
      <c r="F514" s="5">
        <v>6.285323077775E12</v>
      </c>
      <c r="G514" s="1" t="s">
        <v>2200</v>
      </c>
      <c r="H514" s="5" t="s">
        <v>575</v>
      </c>
      <c r="I514" s="5" t="s">
        <v>57</v>
      </c>
      <c r="J514" s="5" t="s">
        <v>991</v>
      </c>
      <c r="K514" s="5" t="s">
        <v>539</v>
      </c>
      <c r="L514" s="5" t="s">
        <v>799</v>
      </c>
    </row>
    <row r="515">
      <c r="A515" s="1" t="s">
        <v>2201</v>
      </c>
      <c r="B515" s="5" t="s">
        <v>2202</v>
      </c>
      <c r="C515" s="5" t="s">
        <v>53</v>
      </c>
      <c r="D515" s="5" t="s">
        <v>2203</v>
      </c>
      <c r="E515" s="35">
        <v>36705.0</v>
      </c>
      <c r="F515" s="5">
        <v>6.281247701595E12</v>
      </c>
      <c r="G515" s="1" t="s">
        <v>2204</v>
      </c>
      <c r="H515" s="5" t="s">
        <v>236</v>
      </c>
      <c r="I515" s="5" t="s">
        <v>57</v>
      </c>
      <c r="J515" s="5" t="s">
        <v>506</v>
      </c>
    </row>
    <row r="516">
      <c r="A516" s="1" t="s">
        <v>2205</v>
      </c>
      <c r="B516" s="5" t="s">
        <v>2206</v>
      </c>
      <c r="C516" s="5" t="s">
        <v>53</v>
      </c>
      <c r="D516" s="5" t="s">
        <v>373</v>
      </c>
      <c r="E516" s="36">
        <v>36906.0</v>
      </c>
      <c r="F516" s="5">
        <v>6.283180541932E12</v>
      </c>
      <c r="G516" s="1" t="s">
        <v>2207</v>
      </c>
      <c r="H516" s="5" t="s">
        <v>293</v>
      </c>
      <c r="I516" s="5" t="s">
        <v>57</v>
      </c>
      <c r="J516" s="5" t="s">
        <v>923</v>
      </c>
      <c r="K516" s="5" t="s">
        <v>556</v>
      </c>
      <c r="L516" s="5" t="s">
        <v>2208</v>
      </c>
    </row>
    <row r="517">
      <c r="A517" s="1" t="s">
        <v>2209</v>
      </c>
      <c r="B517" s="5" t="s">
        <v>2210</v>
      </c>
      <c r="C517" s="5" t="s">
        <v>76</v>
      </c>
      <c r="D517" s="5" t="s">
        <v>2211</v>
      </c>
      <c r="E517" s="36">
        <v>37582.0</v>
      </c>
      <c r="F517" s="5">
        <v>6.282281888833E12</v>
      </c>
      <c r="G517" s="1" t="s">
        <v>2212</v>
      </c>
      <c r="H517" s="5" t="s">
        <v>544</v>
      </c>
      <c r="I517" s="5" t="s">
        <v>57</v>
      </c>
      <c r="J517" s="5" t="s">
        <v>854</v>
      </c>
      <c r="K517" s="5" t="s">
        <v>539</v>
      </c>
      <c r="L517" s="5" t="s">
        <v>799</v>
      </c>
    </row>
    <row r="518">
      <c r="A518" s="1" t="s">
        <v>2213</v>
      </c>
      <c r="B518" s="5" t="s">
        <v>2214</v>
      </c>
      <c r="C518" s="5" t="s">
        <v>76</v>
      </c>
      <c r="D518" s="5" t="s">
        <v>637</v>
      </c>
      <c r="E518" s="36">
        <v>36469.0</v>
      </c>
      <c r="F518" s="5">
        <v>6.283114972657E12</v>
      </c>
      <c r="G518" s="1" t="s">
        <v>2215</v>
      </c>
      <c r="H518" s="5" t="s">
        <v>236</v>
      </c>
      <c r="I518" s="5" t="s">
        <v>57</v>
      </c>
      <c r="J518" s="5" t="s">
        <v>506</v>
      </c>
      <c r="K518" s="5" t="s">
        <v>1288</v>
      </c>
      <c r="L518" s="5" t="s">
        <v>653</v>
      </c>
    </row>
    <row r="519">
      <c r="A519" s="1" t="s">
        <v>2216</v>
      </c>
      <c r="B519" s="5" t="s">
        <v>2217</v>
      </c>
      <c r="C519" s="5" t="s">
        <v>53</v>
      </c>
      <c r="D519" s="5" t="s">
        <v>1981</v>
      </c>
      <c r="E519" s="36">
        <v>37441.0</v>
      </c>
      <c r="F519" s="5">
        <v>6.28996324616E11</v>
      </c>
      <c r="G519" s="1" t="s">
        <v>2218</v>
      </c>
      <c r="H519" s="5" t="s">
        <v>544</v>
      </c>
      <c r="I519" s="5" t="s">
        <v>57</v>
      </c>
      <c r="J519" s="5" t="s">
        <v>1217</v>
      </c>
      <c r="K519" s="5" t="s">
        <v>848</v>
      </c>
      <c r="L519" s="5" t="s">
        <v>849</v>
      </c>
    </row>
    <row r="520">
      <c r="A520" s="1" t="s">
        <v>2219</v>
      </c>
      <c r="B520" s="5" t="s">
        <v>2220</v>
      </c>
      <c r="C520" s="5" t="s">
        <v>53</v>
      </c>
      <c r="D520" s="5" t="s">
        <v>1545</v>
      </c>
      <c r="E520" s="36">
        <v>35231.0</v>
      </c>
      <c r="F520" s="5">
        <v>6.28112917917E11</v>
      </c>
      <c r="G520" s="1" t="s">
        <v>2221</v>
      </c>
      <c r="H520" s="5" t="s">
        <v>481</v>
      </c>
      <c r="I520" s="5" t="s">
        <v>57</v>
      </c>
      <c r="J520" s="5" t="s">
        <v>838</v>
      </c>
      <c r="K520" s="5" t="s">
        <v>539</v>
      </c>
      <c r="L520" s="5" t="s">
        <v>799</v>
      </c>
    </row>
    <row r="521">
      <c r="A521" s="1" t="s">
        <v>2222</v>
      </c>
      <c r="B521" s="5" t="s">
        <v>2223</v>
      </c>
      <c r="C521" s="5" t="s">
        <v>76</v>
      </c>
      <c r="D521" s="5" t="s">
        <v>472</v>
      </c>
      <c r="E521" s="36">
        <v>35236.0</v>
      </c>
      <c r="F521" s="5">
        <v>6.285741264112E12</v>
      </c>
      <c r="G521" s="1" t="s">
        <v>2224</v>
      </c>
      <c r="H521" s="5" t="s">
        <v>308</v>
      </c>
      <c r="I521" s="5" t="s">
        <v>57</v>
      </c>
      <c r="J521" s="5" t="s">
        <v>385</v>
      </c>
      <c r="K521" s="5" t="s">
        <v>672</v>
      </c>
      <c r="L521" s="5" t="s">
        <v>2052</v>
      </c>
    </row>
    <row r="522">
      <c r="A522" s="1" t="s">
        <v>2225</v>
      </c>
      <c r="B522" s="5" t="s">
        <v>2226</v>
      </c>
      <c r="C522" s="5" t="s">
        <v>76</v>
      </c>
      <c r="D522" s="5" t="s">
        <v>373</v>
      </c>
      <c r="E522" s="36">
        <v>38123.0</v>
      </c>
      <c r="F522" s="5">
        <v>6.281276446469E12</v>
      </c>
      <c r="G522" s="1" t="s">
        <v>2227</v>
      </c>
      <c r="H522" s="5" t="s">
        <v>544</v>
      </c>
      <c r="I522" s="5" t="s">
        <v>57</v>
      </c>
      <c r="J522" s="5" t="s">
        <v>1048</v>
      </c>
      <c r="K522" s="5" t="s">
        <v>539</v>
      </c>
      <c r="L522" s="5" t="s">
        <v>540</v>
      </c>
    </row>
    <row r="523">
      <c r="A523" s="1" t="s">
        <v>2228</v>
      </c>
      <c r="B523" s="5" t="s">
        <v>2229</v>
      </c>
      <c r="C523" s="5" t="s">
        <v>53</v>
      </c>
      <c r="D523" s="5" t="s">
        <v>537</v>
      </c>
      <c r="E523" s="36">
        <v>36388.0</v>
      </c>
      <c r="F523" s="5">
        <v>6.28998174799E11</v>
      </c>
      <c r="G523" s="1" t="s">
        <v>2230</v>
      </c>
      <c r="H523" s="5" t="s">
        <v>516</v>
      </c>
      <c r="I523" s="5" t="s">
        <v>57</v>
      </c>
      <c r="J523" s="5" t="s">
        <v>923</v>
      </c>
      <c r="K523" s="5" t="s">
        <v>1542</v>
      </c>
      <c r="L523" s="5" t="s">
        <v>2231</v>
      </c>
    </row>
    <row r="524">
      <c r="A524" s="1" t="s">
        <v>2232</v>
      </c>
      <c r="B524" s="5" t="s">
        <v>2233</v>
      </c>
      <c r="C524" s="5" t="s">
        <v>53</v>
      </c>
      <c r="D524" s="5" t="s">
        <v>1030</v>
      </c>
      <c r="E524" s="36">
        <v>35972.0</v>
      </c>
      <c r="F524" s="5">
        <v>6.285866437145E12</v>
      </c>
      <c r="G524" s="1" t="s">
        <v>2234</v>
      </c>
      <c r="H524" s="5" t="s">
        <v>438</v>
      </c>
      <c r="I524" s="5" t="s">
        <v>57</v>
      </c>
      <c r="J524" s="5" t="s">
        <v>1425</v>
      </c>
      <c r="K524" s="5" t="s">
        <v>1426</v>
      </c>
      <c r="L524" s="5" t="s">
        <v>1402</v>
      </c>
    </row>
    <row r="525">
      <c r="A525" s="1" t="s">
        <v>2235</v>
      </c>
      <c r="B525" s="5" t="s">
        <v>2236</v>
      </c>
      <c r="C525" s="5" t="s">
        <v>76</v>
      </c>
      <c r="D525" s="5" t="s">
        <v>472</v>
      </c>
      <c r="E525" s="36">
        <v>37621.0</v>
      </c>
      <c r="F525" s="5">
        <v>6.285876572331E12</v>
      </c>
      <c r="G525" s="1" t="s">
        <v>2237</v>
      </c>
      <c r="H525" s="5" t="s">
        <v>544</v>
      </c>
      <c r="I525" s="5" t="s">
        <v>57</v>
      </c>
      <c r="J525" s="5" t="s">
        <v>475</v>
      </c>
      <c r="K525" s="5" t="s">
        <v>539</v>
      </c>
      <c r="L525" s="5" t="s">
        <v>311</v>
      </c>
    </row>
    <row r="526">
      <c r="A526" s="1" t="s">
        <v>2238</v>
      </c>
      <c r="B526" s="5" t="s">
        <v>2239</v>
      </c>
      <c r="C526" s="5" t="s">
        <v>76</v>
      </c>
      <c r="D526" s="5" t="s">
        <v>472</v>
      </c>
      <c r="E526" s="36">
        <v>32080.0</v>
      </c>
      <c r="F526" s="5">
        <v>6.282220166854E12</v>
      </c>
      <c r="G526" s="1" t="s">
        <v>2240</v>
      </c>
      <c r="H526" s="5" t="s">
        <v>190</v>
      </c>
      <c r="I526" s="5" t="s">
        <v>57</v>
      </c>
      <c r="J526" s="5" t="s">
        <v>475</v>
      </c>
      <c r="K526" s="5" t="s">
        <v>672</v>
      </c>
      <c r="L526" s="5" t="s">
        <v>2241</v>
      </c>
    </row>
    <row r="527">
      <c r="A527" s="1" t="s">
        <v>2242</v>
      </c>
      <c r="B527" s="5" t="s">
        <v>2243</v>
      </c>
      <c r="C527" s="5" t="s">
        <v>76</v>
      </c>
      <c r="D527" s="5" t="s">
        <v>472</v>
      </c>
      <c r="E527" s="36">
        <v>31999.0</v>
      </c>
      <c r="F527" s="5">
        <v>6.285640395985E12</v>
      </c>
      <c r="G527" s="1" t="s">
        <v>2244</v>
      </c>
      <c r="H527" s="5" t="s">
        <v>1448</v>
      </c>
      <c r="I527" s="5" t="s">
        <v>57</v>
      </c>
      <c r="J527" s="5" t="s">
        <v>475</v>
      </c>
      <c r="K527" s="5" t="s">
        <v>672</v>
      </c>
      <c r="L527" s="5" t="s">
        <v>1036</v>
      </c>
    </row>
    <row r="528">
      <c r="A528" s="1" t="s">
        <v>2245</v>
      </c>
      <c r="B528" s="5" t="s">
        <v>2246</v>
      </c>
      <c r="C528" s="5" t="s">
        <v>76</v>
      </c>
      <c r="D528" s="5" t="s">
        <v>472</v>
      </c>
      <c r="E528" s="35">
        <v>30631.0</v>
      </c>
      <c r="F528" s="5">
        <v>6.285848848352E12</v>
      </c>
      <c r="G528" s="1" t="s">
        <v>2247</v>
      </c>
      <c r="H528" s="5" t="s">
        <v>2178</v>
      </c>
      <c r="I528" s="5" t="s">
        <v>57</v>
      </c>
      <c r="J528" s="5" t="s">
        <v>475</v>
      </c>
    </row>
    <row r="529">
      <c r="A529" s="1" t="s">
        <v>2248</v>
      </c>
      <c r="B529" s="5" t="s">
        <v>2249</v>
      </c>
      <c r="C529" s="5" t="s">
        <v>76</v>
      </c>
      <c r="D529" s="5" t="s">
        <v>1054</v>
      </c>
      <c r="E529" s="36">
        <v>37944.0</v>
      </c>
      <c r="F529" s="5">
        <v>6.2895383736951E13</v>
      </c>
      <c r="G529" s="1" t="s">
        <v>2250</v>
      </c>
      <c r="H529" s="5" t="s">
        <v>544</v>
      </c>
      <c r="I529" s="5" t="s">
        <v>57</v>
      </c>
      <c r="J529" s="5" t="s">
        <v>475</v>
      </c>
      <c r="K529" s="5" t="s">
        <v>842</v>
      </c>
      <c r="L529" s="5" t="s">
        <v>799</v>
      </c>
    </row>
    <row r="530">
      <c r="A530" s="1" t="s">
        <v>2251</v>
      </c>
      <c r="B530" s="5" t="s">
        <v>2252</v>
      </c>
      <c r="C530" s="5" t="s">
        <v>76</v>
      </c>
      <c r="D530" s="5" t="s">
        <v>472</v>
      </c>
      <c r="E530" s="36">
        <v>37851.0</v>
      </c>
      <c r="F530" s="5">
        <v>6.285700565747E12</v>
      </c>
      <c r="G530" s="1" t="s">
        <v>2253</v>
      </c>
      <c r="H530" s="5" t="s">
        <v>544</v>
      </c>
      <c r="I530" s="5" t="s">
        <v>57</v>
      </c>
      <c r="J530" s="5" t="s">
        <v>1425</v>
      </c>
      <c r="K530" s="5" t="s">
        <v>2254</v>
      </c>
      <c r="L530" s="5" t="s">
        <v>2255</v>
      </c>
    </row>
    <row r="531">
      <c r="A531" s="1" t="s">
        <v>2256</v>
      </c>
      <c r="B531" s="5" t="s">
        <v>2257</v>
      </c>
      <c r="C531" s="5" t="s">
        <v>76</v>
      </c>
      <c r="D531" s="5" t="s">
        <v>472</v>
      </c>
      <c r="E531" s="36">
        <v>32625.0</v>
      </c>
      <c r="F531" s="5">
        <v>6.285712444855E12</v>
      </c>
      <c r="G531" s="1" t="s">
        <v>2258</v>
      </c>
      <c r="H531" s="5" t="s">
        <v>939</v>
      </c>
      <c r="I531" s="5" t="s">
        <v>57</v>
      </c>
      <c r="J531" s="5" t="s">
        <v>475</v>
      </c>
      <c r="K531" s="5" t="s">
        <v>529</v>
      </c>
      <c r="L531" s="5" t="s">
        <v>2259</v>
      </c>
    </row>
    <row r="532">
      <c r="A532" s="1" t="s">
        <v>2260</v>
      </c>
      <c r="B532" s="5" t="s">
        <v>2261</v>
      </c>
      <c r="C532" s="5" t="s">
        <v>76</v>
      </c>
      <c r="D532" s="5" t="s">
        <v>514</v>
      </c>
      <c r="E532" s="35">
        <v>34814.0</v>
      </c>
      <c r="F532" s="5">
        <v>6.285875891134E12</v>
      </c>
      <c r="G532" s="1" t="s">
        <v>2262</v>
      </c>
      <c r="H532" s="5" t="s">
        <v>481</v>
      </c>
      <c r="I532" s="5" t="s">
        <v>57</v>
      </c>
      <c r="J532" s="5" t="s">
        <v>475</v>
      </c>
    </row>
    <row r="533">
      <c r="A533" s="1" t="s">
        <v>2263</v>
      </c>
      <c r="B533" s="5" t="s">
        <v>2264</v>
      </c>
      <c r="C533" s="5" t="s">
        <v>76</v>
      </c>
      <c r="D533" s="5" t="s">
        <v>2265</v>
      </c>
      <c r="E533" s="35">
        <v>34790.0</v>
      </c>
      <c r="F533" s="5">
        <v>6.285747085006E12</v>
      </c>
      <c r="G533" s="1" t="s">
        <v>2266</v>
      </c>
      <c r="H533" s="5" t="s">
        <v>649</v>
      </c>
      <c r="I533" s="5" t="s">
        <v>57</v>
      </c>
      <c r="J533" s="5" t="s">
        <v>1425</v>
      </c>
    </row>
    <row r="534">
      <c r="A534" s="1" t="s">
        <v>2267</v>
      </c>
      <c r="B534" s="5" t="s">
        <v>2268</v>
      </c>
      <c r="C534" s="5" t="s">
        <v>76</v>
      </c>
      <c r="D534" s="5" t="s">
        <v>1030</v>
      </c>
      <c r="E534" s="35">
        <v>34455.0</v>
      </c>
      <c r="F534" s="5">
        <v>6.285878211933E12</v>
      </c>
      <c r="G534" s="1" t="s">
        <v>2269</v>
      </c>
      <c r="H534" s="5" t="s">
        <v>649</v>
      </c>
      <c r="I534" s="5" t="s">
        <v>57</v>
      </c>
      <c r="J534" s="5" t="s">
        <v>475</v>
      </c>
    </row>
    <row r="535">
      <c r="A535" s="1" t="s">
        <v>2270</v>
      </c>
      <c r="B535" s="5" t="s">
        <v>2271</v>
      </c>
      <c r="C535" s="5" t="s">
        <v>76</v>
      </c>
      <c r="D535" s="5" t="s">
        <v>472</v>
      </c>
      <c r="E535" s="36">
        <v>32775.0</v>
      </c>
      <c r="F535" s="5">
        <v>2.685230778898E12</v>
      </c>
      <c r="G535" s="1" t="s">
        <v>2272</v>
      </c>
      <c r="H535" s="5" t="s">
        <v>1032</v>
      </c>
      <c r="I535" s="5" t="s">
        <v>57</v>
      </c>
      <c r="J535" s="5" t="s">
        <v>1425</v>
      </c>
      <c r="K535" s="5" t="s">
        <v>2254</v>
      </c>
      <c r="L535" s="5" t="s">
        <v>2273</v>
      </c>
    </row>
    <row r="536">
      <c r="A536" s="1" t="s">
        <v>2274</v>
      </c>
      <c r="B536" s="5" t="s">
        <v>2275</v>
      </c>
      <c r="C536" s="5" t="s">
        <v>76</v>
      </c>
      <c r="D536" s="5" t="s">
        <v>2276</v>
      </c>
      <c r="E536" s="36">
        <v>35166.0</v>
      </c>
      <c r="F536" s="5">
        <v>6.289646723023E12</v>
      </c>
      <c r="G536" s="1" t="s">
        <v>2277</v>
      </c>
      <c r="H536" s="5" t="s">
        <v>481</v>
      </c>
      <c r="I536" s="5" t="s">
        <v>57</v>
      </c>
      <c r="J536" s="5" t="s">
        <v>613</v>
      </c>
      <c r="K536" s="5" t="s">
        <v>2278</v>
      </c>
      <c r="L536" s="5" t="s">
        <v>2279</v>
      </c>
    </row>
    <row r="537">
      <c r="A537" s="1" t="s">
        <v>2280</v>
      </c>
      <c r="B537" s="5" t="s">
        <v>2281</v>
      </c>
      <c r="C537" s="5" t="s">
        <v>76</v>
      </c>
      <c r="D537" s="5" t="s">
        <v>1054</v>
      </c>
      <c r="E537" s="36">
        <v>33104.0</v>
      </c>
      <c r="F537" s="5">
        <v>6.285878107056E12</v>
      </c>
      <c r="G537" s="1" t="s">
        <v>2282</v>
      </c>
      <c r="H537" s="5" t="s">
        <v>499</v>
      </c>
      <c r="I537" s="5" t="s">
        <v>57</v>
      </c>
      <c r="J537" s="5" t="s">
        <v>475</v>
      </c>
      <c r="K537" s="5" t="s">
        <v>672</v>
      </c>
      <c r="L537" s="5" t="s">
        <v>1036</v>
      </c>
    </row>
    <row r="538">
      <c r="A538" s="1" t="s">
        <v>2283</v>
      </c>
      <c r="B538" s="5" t="s">
        <v>2284</v>
      </c>
      <c r="C538" s="5" t="s">
        <v>53</v>
      </c>
      <c r="D538" s="5" t="s">
        <v>1054</v>
      </c>
      <c r="E538" s="36">
        <v>32528.0</v>
      </c>
      <c r="F538" s="5">
        <v>6.282310763257E12</v>
      </c>
      <c r="G538" s="1" t="s">
        <v>2285</v>
      </c>
      <c r="H538" s="5" t="s">
        <v>1032</v>
      </c>
      <c r="I538" s="5" t="s">
        <v>57</v>
      </c>
      <c r="J538" s="5" t="s">
        <v>1425</v>
      </c>
      <c r="K538" s="5" t="s">
        <v>2254</v>
      </c>
      <c r="L538" s="5" t="s">
        <v>2286</v>
      </c>
    </row>
    <row r="539">
      <c r="A539" s="1" t="s">
        <v>2287</v>
      </c>
      <c r="B539" s="5" t="s">
        <v>2288</v>
      </c>
      <c r="C539" s="5" t="s">
        <v>76</v>
      </c>
      <c r="D539" s="3" t="s">
        <v>2289</v>
      </c>
      <c r="E539" s="36">
        <v>37863.0</v>
      </c>
      <c r="F539" s="5">
        <v>6.281236859268E12</v>
      </c>
      <c r="G539" s="1" t="s">
        <v>2290</v>
      </c>
      <c r="H539" s="5" t="s">
        <v>544</v>
      </c>
      <c r="I539" s="5" t="s">
        <v>57</v>
      </c>
      <c r="J539" s="5" t="s">
        <v>787</v>
      </c>
      <c r="K539" s="5" t="s">
        <v>539</v>
      </c>
      <c r="L539" s="5" t="s">
        <v>799</v>
      </c>
    </row>
    <row r="540">
      <c r="A540" s="1" t="s">
        <v>2291</v>
      </c>
      <c r="B540" s="5" t="s">
        <v>2292</v>
      </c>
      <c r="C540" s="5" t="s">
        <v>76</v>
      </c>
      <c r="D540" s="5" t="s">
        <v>2293</v>
      </c>
      <c r="E540" s="36">
        <v>33590.0</v>
      </c>
      <c r="F540" s="5">
        <v>6.282219744828E12</v>
      </c>
      <c r="G540" s="1" t="s">
        <v>2294</v>
      </c>
      <c r="H540" s="5" t="s">
        <v>499</v>
      </c>
      <c r="I540" s="5" t="s">
        <v>57</v>
      </c>
      <c r="J540" s="5" t="s">
        <v>1434</v>
      </c>
      <c r="K540" s="5" t="s">
        <v>539</v>
      </c>
      <c r="L540" s="5" t="s">
        <v>799</v>
      </c>
    </row>
    <row r="541">
      <c r="A541" s="1" t="s">
        <v>2295</v>
      </c>
      <c r="B541" s="5" t="s">
        <v>2296</v>
      </c>
      <c r="C541" s="5" t="s">
        <v>76</v>
      </c>
      <c r="D541" s="5" t="s">
        <v>373</v>
      </c>
      <c r="E541" s="36">
        <v>38009.0</v>
      </c>
      <c r="F541" s="5">
        <v>6.281269009382E12</v>
      </c>
      <c r="G541" s="1" t="s">
        <v>2297</v>
      </c>
      <c r="H541" s="5" t="s">
        <v>544</v>
      </c>
      <c r="I541" s="5" t="s">
        <v>57</v>
      </c>
      <c r="J541" s="5" t="s">
        <v>1048</v>
      </c>
      <c r="K541" s="5" t="s">
        <v>910</v>
      </c>
      <c r="L541" s="5" t="s">
        <v>1978</v>
      </c>
    </row>
    <row r="542">
      <c r="A542" s="1" t="s">
        <v>2298</v>
      </c>
      <c r="B542" s="5" t="s">
        <v>2299</v>
      </c>
      <c r="C542" s="5" t="s">
        <v>76</v>
      </c>
      <c r="D542" s="5" t="s">
        <v>373</v>
      </c>
      <c r="E542" s="36">
        <v>37668.0</v>
      </c>
      <c r="F542" s="5">
        <v>6.285362667723E12</v>
      </c>
      <c r="G542" s="1" t="s">
        <v>2300</v>
      </c>
      <c r="H542" s="5" t="s">
        <v>544</v>
      </c>
      <c r="I542" s="5" t="s">
        <v>57</v>
      </c>
      <c r="J542" s="5" t="s">
        <v>1048</v>
      </c>
      <c r="K542" s="5" t="s">
        <v>1747</v>
      </c>
      <c r="L542" s="5" t="s">
        <v>1747</v>
      </c>
    </row>
    <row r="543">
      <c r="A543" s="1" t="s">
        <v>2301</v>
      </c>
      <c r="B543" s="5" t="s">
        <v>2302</v>
      </c>
      <c r="C543" s="5" t="s">
        <v>76</v>
      </c>
      <c r="D543" s="5" t="s">
        <v>2303</v>
      </c>
      <c r="E543" s="36">
        <v>37903.0</v>
      </c>
      <c r="F543" s="5">
        <v>6.282285735685E12</v>
      </c>
      <c r="G543" s="1" t="s">
        <v>2304</v>
      </c>
      <c r="H543" s="5" t="s">
        <v>544</v>
      </c>
      <c r="I543" s="5" t="s">
        <v>57</v>
      </c>
      <c r="J543" s="5" t="s">
        <v>1048</v>
      </c>
      <c r="K543" s="5" t="s">
        <v>848</v>
      </c>
      <c r="L543" s="5" t="s">
        <v>849</v>
      </c>
    </row>
    <row r="544">
      <c r="A544" s="1" t="s">
        <v>2305</v>
      </c>
      <c r="B544" s="5" t="s">
        <v>2306</v>
      </c>
      <c r="C544" s="5" t="s">
        <v>76</v>
      </c>
      <c r="D544" s="5" t="s">
        <v>1415</v>
      </c>
      <c r="E544" s="36">
        <v>36690.0</v>
      </c>
      <c r="F544" s="5">
        <v>6.281288925563E12</v>
      </c>
      <c r="G544" s="1" t="s">
        <v>2307</v>
      </c>
      <c r="H544" s="5" t="s">
        <v>293</v>
      </c>
      <c r="I544" s="5" t="s">
        <v>57</v>
      </c>
      <c r="J544" s="5" t="s">
        <v>696</v>
      </c>
      <c r="K544" s="5" t="s">
        <v>539</v>
      </c>
      <c r="L544" s="5" t="s">
        <v>539</v>
      </c>
    </row>
    <row r="545">
      <c r="A545" s="1" t="s">
        <v>2308</v>
      </c>
      <c r="B545" s="5" t="s">
        <v>2309</v>
      </c>
      <c r="C545" s="5" t="s">
        <v>53</v>
      </c>
      <c r="D545" s="5" t="s">
        <v>1813</v>
      </c>
      <c r="E545" s="36">
        <v>36757.0</v>
      </c>
      <c r="F545" s="5">
        <v>6.28585641452E12</v>
      </c>
      <c r="G545" s="1" t="s">
        <v>2310</v>
      </c>
      <c r="H545" s="5" t="s">
        <v>236</v>
      </c>
      <c r="I545" s="5" t="s">
        <v>57</v>
      </c>
      <c r="J545" s="5" t="s">
        <v>772</v>
      </c>
      <c r="K545" s="5" t="s">
        <v>523</v>
      </c>
      <c r="L545" s="5" t="s">
        <v>1304</v>
      </c>
    </row>
    <row r="546">
      <c r="A546" s="1" t="s">
        <v>2311</v>
      </c>
      <c r="B546" s="5" t="s">
        <v>2312</v>
      </c>
      <c r="C546" s="5" t="s">
        <v>76</v>
      </c>
      <c r="D546" s="5" t="s">
        <v>537</v>
      </c>
      <c r="E546" s="36">
        <v>35190.0</v>
      </c>
      <c r="F546" s="5">
        <v>6.281380777196E12</v>
      </c>
      <c r="G546" s="1" t="s">
        <v>2313</v>
      </c>
      <c r="H546" s="5" t="s">
        <v>481</v>
      </c>
      <c r="I546" s="5" t="s">
        <v>57</v>
      </c>
      <c r="J546" s="5" t="s">
        <v>696</v>
      </c>
      <c r="K546" s="5" t="s">
        <v>539</v>
      </c>
      <c r="L546" s="5" t="s">
        <v>2314</v>
      </c>
    </row>
    <row r="547">
      <c r="A547" s="1" t="s">
        <v>2315</v>
      </c>
      <c r="B547" s="5" t="s">
        <v>2316</v>
      </c>
      <c r="C547" s="5" t="s">
        <v>76</v>
      </c>
      <c r="D547" s="5" t="s">
        <v>537</v>
      </c>
      <c r="E547" s="36">
        <v>37869.0</v>
      </c>
      <c r="F547" s="5">
        <v>6.281235880911E12</v>
      </c>
      <c r="G547" s="1" t="s">
        <v>2317</v>
      </c>
      <c r="H547" s="5" t="s">
        <v>544</v>
      </c>
      <c r="I547" s="5" t="s">
        <v>57</v>
      </c>
      <c r="J547" s="5" t="s">
        <v>1142</v>
      </c>
      <c r="K547" s="5" t="s">
        <v>1444</v>
      </c>
      <c r="L547" s="5" t="s">
        <v>692</v>
      </c>
    </row>
    <row r="548">
      <c r="A548" s="1" t="s">
        <v>2318</v>
      </c>
      <c r="B548" s="5" t="s">
        <v>2319</v>
      </c>
      <c r="C548" s="5" t="s">
        <v>76</v>
      </c>
      <c r="D548" s="5" t="s">
        <v>595</v>
      </c>
      <c r="E548" s="35">
        <v>35046.0</v>
      </c>
      <c r="F548" s="5">
        <v>6.282257115073E12</v>
      </c>
      <c r="G548" s="1" t="s">
        <v>2320</v>
      </c>
      <c r="H548" s="5" t="s">
        <v>481</v>
      </c>
      <c r="I548" s="5" t="s">
        <v>57</v>
      </c>
      <c r="J548" s="5" t="s">
        <v>506</v>
      </c>
    </row>
    <row r="549">
      <c r="A549" s="1" t="s">
        <v>2321</v>
      </c>
      <c r="B549" s="5" t="s">
        <v>2322</v>
      </c>
      <c r="C549" s="5" t="s">
        <v>53</v>
      </c>
      <c r="D549" s="5" t="s">
        <v>504</v>
      </c>
      <c r="E549" s="36">
        <v>31842.0</v>
      </c>
      <c r="F549" s="5">
        <v>6.282196098111E12</v>
      </c>
      <c r="G549" s="1" t="s">
        <v>2323</v>
      </c>
      <c r="H549" s="5" t="s">
        <v>630</v>
      </c>
      <c r="I549" s="5" t="s">
        <v>57</v>
      </c>
      <c r="J549" s="5" t="s">
        <v>506</v>
      </c>
      <c r="K549" s="5" t="s">
        <v>2324</v>
      </c>
      <c r="L549" s="5" t="s">
        <v>2325</v>
      </c>
    </row>
    <row r="550">
      <c r="A550" s="1" t="s">
        <v>2326</v>
      </c>
      <c r="B550" s="5" t="s">
        <v>2327</v>
      </c>
      <c r="C550" s="5" t="s">
        <v>76</v>
      </c>
      <c r="D550" s="5" t="s">
        <v>2328</v>
      </c>
      <c r="E550" s="36">
        <v>37850.0</v>
      </c>
      <c r="F550" s="5">
        <v>6.282238045024E12</v>
      </c>
      <c r="G550" s="1" t="s">
        <v>2329</v>
      </c>
      <c r="H550" s="5" t="s">
        <v>544</v>
      </c>
      <c r="I550" s="5" t="s">
        <v>57</v>
      </c>
      <c r="J550" s="5" t="s">
        <v>2330</v>
      </c>
      <c r="K550" s="5" t="s">
        <v>672</v>
      </c>
      <c r="L550" s="5" t="s">
        <v>2331</v>
      </c>
    </row>
    <row r="551">
      <c r="A551" s="1" t="s">
        <v>2332</v>
      </c>
      <c r="B551" s="5" t="s">
        <v>2333</v>
      </c>
      <c r="C551" s="5" t="s">
        <v>76</v>
      </c>
      <c r="D551" s="5" t="s">
        <v>968</v>
      </c>
      <c r="E551" s="36">
        <v>36835.0</v>
      </c>
      <c r="F551" s="5">
        <v>6.288901139315E12</v>
      </c>
      <c r="G551" s="1" t="s">
        <v>2334</v>
      </c>
      <c r="H551" s="5" t="s">
        <v>293</v>
      </c>
      <c r="I551" s="5" t="s">
        <v>57</v>
      </c>
      <c r="J551" s="5" t="s">
        <v>506</v>
      </c>
      <c r="K551" s="5" t="s">
        <v>2335</v>
      </c>
      <c r="L551" s="5" t="s">
        <v>2335</v>
      </c>
    </row>
    <row r="552">
      <c r="A552" s="1" t="s">
        <v>2336</v>
      </c>
      <c r="B552" s="5" t="s">
        <v>2337</v>
      </c>
      <c r="C552" s="5" t="s">
        <v>53</v>
      </c>
      <c r="D552" s="5" t="s">
        <v>869</v>
      </c>
      <c r="E552" s="36">
        <v>33588.0</v>
      </c>
      <c r="F552" s="5">
        <v>6.28151716393E12</v>
      </c>
      <c r="G552" s="1" t="s">
        <v>2338</v>
      </c>
      <c r="H552" s="5" t="s">
        <v>575</v>
      </c>
      <c r="I552" s="5" t="s">
        <v>57</v>
      </c>
      <c r="J552" s="5" t="s">
        <v>1703</v>
      </c>
      <c r="K552" s="5" t="s">
        <v>539</v>
      </c>
      <c r="L552" s="5" t="s">
        <v>799</v>
      </c>
    </row>
    <row r="553">
      <c r="A553" s="1" t="s">
        <v>2339</v>
      </c>
      <c r="B553" s="5" t="s">
        <v>2340</v>
      </c>
      <c r="C553" s="5" t="s">
        <v>53</v>
      </c>
      <c r="D553" s="5" t="s">
        <v>2341</v>
      </c>
      <c r="E553" s="36">
        <v>37307.0</v>
      </c>
      <c r="F553" s="5">
        <v>6.285859906784E12</v>
      </c>
      <c r="G553" s="1" t="s">
        <v>2342</v>
      </c>
      <c r="H553" s="5" t="s">
        <v>474</v>
      </c>
      <c r="I553" s="5" t="s">
        <v>57</v>
      </c>
      <c r="J553" s="5" t="s">
        <v>682</v>
      </c>
      <c r="K553" s="5" t="s">
        <v>556</v>
      </c>
      <c r="L553" s="5" t="s">
        <v>2343</v>
      </c>
    </row>
    <row r="554">
      <c r="A554" s="1" t="s">
        <v>2344</v>
      </c>
      <c r="B554" s="5" t="s">
        <v>2345</v>
      </c>
      <c r="C554" s="5" t="s">
        <v>53</v>
      </c>
      <c r="D554" s="5" t="s">
        <v>680</v>
      </c>
      <c r="E554" s="36">
        <v>35810.0</v>
      </c>
      <c r="F554" s="5">
        <v>6.281281670653E12</v>
      </c>
      <c r="G554" s="1" t="s">
        <v>2346</v>
      </c>
      <c r="H554" s="5" t="s">
        <v>438</v>
      </c>
      <c r="I554" s="5" t="s">
        <v>57</v>
      </c>
      <c r="J554" s="5" t="s">
        <v>506</v>
      </c>
      <c r="K554" s="5" t="s">
        <v>842</v>
      </c>
      <c r="L554" s="5" t="s">
        <v>799</v>
      </c>
    </row>
    <row r="555">
      <c r="A555" s="1" t="s">
        <v>2347</v>
      </c>
      <c r="B555" s="5" t="s">
        <v>2348</v>
      </c>
      <c r="C555" s="5" t="s">
        <v>76</v>
      </c>
      <c r="D555" s="5" t="s">
        <v>2349</v>
      </c>
      <c r="E555" s="36">
        <v>34259.0</v>
      </c>
      <c r="F555" s="5">
        <v>6.281233799737E12</v>
      </c>
      <c r="G555" s="1" t="s">
        <v>2350</v>
      </c>
      <c r="H555" s="5" t="s">
        <v>939</v>
      </c>
      <c r="I555" s="5" t="s">
        <v>57</v>
      </c>
      <c r="J555" s="5" t="s">
        <v>682</v>
      </c>
      <c r="K555" s="5" t="s">
        <v>529</v>
      </c>
      <c r="L555" s="5" t="s">
        <v>817</v>
      </c>
    </row>
    <row r="556">
      <c r="A556" s="1" t="s">
        <v>2351</v>
      </c>
      <c r="B556" s="5" t="s">
        <v>2352</v>
      </c>
      <c r="C556" s="5" t="s">
        <v>76</v>
      </c>
      <c r="D556" s="5" t="s">
        <v>2353</v>
      </c>
      <c r="E556" s="36">
        <v>37809.0</v>
      </c>
      <c r="F556" s="5">
        <v>6.282199669782E12</v>
      </c>
      <c r="G556" s="1" t="s">
        <v>2354</v>
      </c>
      <c r="H556" s="5" t="s">
        <v>544</v>
      </c>
      <c r="I556" s="5" t="s">
        <v>57</v>
      </c>
      <c r="J556" s="5" t="s">
        <v>1598</v>
      </c>
      <c r="K556" s="5" t="s">
        <v>529</v>
      </c>
      <c r="L556" s="5" t="s">
        <v>644</v>
      </c>
    </row>
    <row r="557">
      <c r="A557" s="1" t="s">
        <v>2355</v>
      </c>
      <c r="B557" s="5" t="s">
        <v>2356</v>
      </c>
      <c r="C557" s="5" t="s">
        <v>76</v>
      </c>
      <c r="D557" s="5" t="s">
        <v>770</v>
      </c>
      <c r="E557" s="36">
        <v>35956.0</v>
      </c>
      <c r="F557" s="5">
        <v>6.282146997707E12</v>
      </c>
      <c r="G557" s="1" t="s">
        <v>2357</v>
      </c>
      <c r="H557" s="5" t="s">
        <v>438</v>
      </c>
      <c r="I557" s="5" t="s">
        <v>57</v>
      </c>
      <c r="J557" s="5" t="s">
        <v>923</v>
      </c>
      <c r="K557" s="5" t="s">
        <v>2335</v>
      </c>
      <c r="L557" s="5" t="s">
        <v>2335</v>
      </c>
    </row>
    <row r="558">
      <c r="A558" s="1" t="s">
        <v>2358</v>
      </c>
      <c r="B558" s="5" t="s">
        <v>2359</v>
      </c>
      <c r="C558" s="5" t="s">
        <v>53</v>
      </c>
      <c r="D558" s="5" t="s">
        <v>1111</v>
      </c>
      <c r="E558" s="36">
        <v>35689.0</v>
      </c>
      <c r="F558" s="5">
        <v>6.28986538539E11</v>
      </c>
      <c r="G558" s="1" t="s">
        <v>2360</v>
      </c>
      <c r="H558" s="5" t="s">
        <v>308</v>
      </c>
      <c r="I558" s="5" t="s">
        <v>57</v>
      </c>
      <c r="J558" s="5" t="s">
        <v>58</v>
      </c>
      <c r="K558" s="5" t="s">
        <v>529</v>
      </c>
      <c r="L558" s="5" t="s">
        <v>2361</v>
      </c>
    </row>
    <row r="559">
      <c r="A559" s="1" t="s">
        <v>2362</v>
      </c>
      <c r="B559" s="5" t="s">
        <v>2363</v>
      </c>
      <c r="C559" s="5" t="s">
        <v>76</v>
      </c>
      <c r="D559" s="5" t="s">
        <v>537</v>
      </c>
      <c r="E559" s="36">
        <v>37100.0</v>
      </c>
      <c r="F559" s="5">
        <v>6.287782034805E12</v>
      </c>
      <c r="G559" s="1" t="s">
        <v>2364</v>
      </c>
      <c r="H559" s="5" t="s">
        <v>293</v>
      </c>
      <c r="I559" s="5" t="s">
        <v>57</v>
      </c>
      <c r="J559" s="5" t="s">
        <v>1409</v>
      </c>
      <c r="K559" s="5" t="s">
        <v>2365</v>
      </c>
      <c r="L559" s="5" t="s">
        <v>577</v>
      </c>
    </row>
    <row r="560">
      <c r="A560" s="1" t="s">
        <v>2366</v>
      </c>
      <c r="B560" s="5" t="s">
        <v>2367</v>
      </c>
      <c r="C560" s="5" t="s">
        <v>76</v>
      </c>
      <c r="D560" s="5" t="s">
        <v>724</v>
      </c>
      <c r="E560" s="36">
        <v>32188.0</v>
      </c>
      <c r="F560" s="5">
        <v>6.281176011E11</v>
      </c>
      <c r="G560" s="1" t="s">
        <v>2368</v>
      </c>
      <c r="H560" s="5" t="s">
        <v>1448</v>
      </c>
      <c r="I560" s="5" t="s">
        <v>57</v>
      </c>
      <c r="J560" s="5" t="s">
        <v>506</v>
      </c>
      <c r="K560" s="5" t="s">
        <v>577</v>
      </c>
      <c r="L560" s="5" t="s">
        <v>577</v>
      </c>
    </row>
    <row r="561">
      <c r="A561" s="1" t="s">
        <v>2369</v>
      </c>
      <c r="B561" s="5" t="s">
        <v>2370</v>
      </c>
      <c r="C561" s="5" t="s">
        <v>76</v>
      </c>
      <c r="D561" s="5" t="s">
        <v>2371</v>
      </c>
      <c r="E561" s="36">
        <v>33554.0</v>
      </c>
      <c r="F561" s="5">
        <v>6.285279005194E12</v>
      </c>
      <c r="G561" s="1" t="s">
        <v>2372</v>
      </c>
      <c r="H561" s="5" t="s">
        <v>575</v>
      </c>
      <c r="I561" s="5" t="s">
        <v>57</v>
      </c>
      <c r="J561" s="5" t="s">
        <v>506</v>
      </c>
      <c r="K561" s="5" t="s">
        <v>539</v>
      </c>
      <c r="L561" s="5" t="s">
        <v>799</v>
      </c>
    </row>
    <row r="562">
      <c r="A562" s="1" t="s">
        <v>2373</v>
      </c>
      <c r="B562" s="5" t="s">
        <v>2374</v>
      </c>
      <c r="C562" s="5" t="s">
        <v>76</v>
      </c>
      <c r="D562" s="5" t="s">
        <v>2375</v>
      </c>
      <c r="E562" s="36">
        <v>34949.0</v>
      </c>
      <c r="F562" s="5">
        <v>6.282314766676E12</v>
      </c>
      <c r="G562" s="1" t="s">
        <v>2376</v>
      </c>
      <c r="H562" s="5" t="s">
        <v>649</v>
      </c>
      <c r="I562" s="5" t="s">
        <v>57</v>
      </c>
      <c r="J562" s="5" t="s">
        <v>482</v>
      </c>
      <c r="K562" s="5" t="s">
        <v>910</v>
      </c>
      <c r="L562" s="5" t="s">
        <v>1978</v>
      </c>
    </row>
    <row r="563">
      <c r="A563" s="1" t="s">
        <v>2377</v>
      </c>
      <c r="B563" s="5" t="s">
        <v>2378</v>
      </c>
      <c r="C563" s="5" t="s">
        <v>76</v>
      </c>
      <c r="D563" s="5" t="s">
        <v>908</v>
      </c>
      <c r="E563" s="35">
        <v>35713.0</v>
      </c>
      <c r="F563" s="5">
        <v>6.287769272005E12</v>
      </c>
      <c r="G563" s="1" t="s">
        <v>2379</v>
      </c>
      <c r="H563" s="5" t="s">
        <v>308</v>
      </c>
      <c r="I563" s="5" t="s">
        <v>57</v>
      </c>
      <c r="J563" s="5" t="s">
        <v>807</v>
      </c>
    </row>
    <row r="564">
      <c r="A564" s="1" t="s">
        <v>2380</v>
      </c>
      <c r="B564" s="5" t="s">
        <v>2381</v>
      </c>
      <c r="C564" s="5" t="s">
        <v>53</v>
      </c>
      <c r="D564" s="5" t="s">
        <v>533</v>
      </c>
      <c r="E564" s="35">
        <v>31952.0</v>
      </c>
      <c r="F564" s="5">
        <v>6.28115669289E11</v>
      </c>
      <c r="G564" s="1" t="s">
        <v>2382</v>
      </c>
      <c r="H564" s="5" t="s">
        <v>1448</v>
      </c>
      <c r="I564" s="5" t="s">
        <v>57</v>
      </c>
      <c r="J564" s="5" t="s">
        <v>58</v>
      </c>
    </row>
    <row r="565">
      <c r="A565" s="1" t="s">
        <v>2383</v>
      </c>
      <c r="B565" s="5" t="s">
        <v>2384</v>
      </c>
      <c r="C565" s="5" t="s">
        <v>53</v>
      </c>
      <c r="D565" s="5" t="s">
        <v>741</v>
      </c>
      <c r="E565" s="35">
        <v>35294.0</v>
      </c>
      <c r="F565" s="5">
        <v>6.282233491155E12</v>
      </c>
      <c r="G565" s="1" t="s">
        <v>2385</v>
      </c>
      <c r="H565" s="5" t="s">
        <v>481</v>
      </c>
      <c r="I565" s="5" t="s">
        <v>57</v>
      </c>
      <c r="J565" s="5" t="s">
        <v>506</v>
      </c>
    </row>
    <row r="566">
      <c r="A566" s="1" t="s">
        <v>2386</v>
      </c>
      <c r="B566" s="5" t="s">
        <v>2387</v>
      </c>
      <c r="C566" s="5" t="s">
        <v>76</v>
      </c>
      <c r="D566" s="5" t="s">
        <v>600</v>
      </c>
      <c r="E566" s="36">
        <v>35142.0</v>
      </c>
      <c r="F566" s="5">
        <v>6.28123865876E12</v>
      </c>
      <c r="G566" s="1" t="s">
        <v>2388</v>
      </c>
      <c r="H566" s="5" t="s">
        <v>481</v>
      </c>
      <c r="I566" s="5" t="s">
        <v>57</v>
      </c>
      <c r="J566" s="5" t="s">
        <v>1409</v>
      </c>
      <c r="K566" s="5" t="s">
        <v>697</v>
      </c>
      <c r="L566" s="5" t="s">
        <v>697</v>
      </c>
    </row>
    <row r="567">
      <c r="A567" s="1" t="s">
        <v>2389</v>
      </c>
      <c r="B567" s="5" t="s">
        <v>2390</v>
      </c>
      <c r="C567" s="5" t="s">
        <v>53</v>
      </c>
      <c r="D567" s="5" t="s">
        <v>2391</v>
      </c>
      <c r="E567" s="35">
        <v>34056.0</v>
      </c>
      <c r="F567" s="5">
        <v>6.285266654546E12</v>
      </c>
      <c r="G567" s="1" t="s">
        <v>2392</v>
      </c>
      <c r="H567" s="5" t="s">
        <v>939</v>
      </c>
      <c r="I567" s="5" t="s">
        <v>57</v>
      </c>
      <c r="J567" s="5" t="s">
        <v>625</v>
      </c>
    </row>
    <row r="568">
      <c r="A568" s="1" t="s">
        <v>2393</v>
      </c>
      <c r="B568" s="5" t="s">
        <v>2394</v>
      </c>
      <c r="C568" s="5" t="s">
        <v>53</v>
      </c>
      <c r="D568" s="5" t="s">
        <v>2395</v>
      </c>
      <c r="E568" s="35">
        <v>35628.0</v>
      </c>
      <c r="F568" s="5">
        <v>6.285881918941E12</v>
      </c>
      <c r="G568" s="1" t="s">
        <v>2396</v>
      </c>
      <c r="H568" s="5" t="s">
        <v>308</v>
      </c>
      <c r="I568" s="5" t="s">
        <v>57</v>
      </c>
      <c r="J568" s="5" t="s">
        <v>952</v>
      </c>
    </row>
    <row r="569">
      <c r="A569" s="1" t="s">
        <v>2397</v>
      </c>
      <c r="B569" s="5" t="s">
        <v>2398</v>
      </c>
      <c r="C569" s="5" t="s">
        <v>76</v>
      </c>
      <c r="D569" s="5" t="s">
        <v>1660</v>
      </c>
      <c r="E569" s="36">
        <v>35276.0</v>
      </c>
      <c r="F569" s="5">
        <v>6.281254519229E12</v>
      </c>
      <c r="G569" s="1" t="s">
        <v>2399</v>
      </c>
      <c r="H569" s="5" t="s">
        <v>438</v>
      </c>
      <c r="I569" s="5" t="s">
        <v>57</v>
      </c>
      <c r="J569" s="5" t="s">
        <v>2400</v>
      </c>
      <c r="K569" s="5" t="s">
        <v>539</v>
      </c>
      <c r="L569" s="5" t="s">
        <v>540</v>
      </c>
    </row>
    <row r="570">
      <c r="A570" s="1" t="s">
        <v>2401</v>
      </c>
      <c r="B570" s="5" t="s">
        <v>2402</v>
      </c>
      <c r="C570" s="5" t="s">
        <v>53</v>
      </c>
      <c r="D570" s="5" t="s">
        <v>869</v>
      </c>
      <c r="E570" s="36">
        <v>37135.0</v>
      </c>
      <c r="F570" s="5">
        <v>6.282230228019E12</v>
      </c>
      <c r="G570" s="1" t="s">
        <v>2403</v>
      </c>
      <c r="H570" s="5" t="s">
        <v>293</v>
      </c>
      <c r="I570" s="5" t="s">
        <v>57</v>
      </c>
      <c r="J570" s="5" t="s">
        <v>682</v>
      </c>
      <c r="K570" s="5" t="s">
        <v>529</v>
      </c>
      <c r="L570" s="5" t="s">
        <v>564</v>
      </c>
    </row>
    <row r="571">
      <c r="A571" s="1" t="s">
        <v>2404</v>
      </c>
      <c r="B571" s="5" t="s">
        <v>2405</v>
      </c>
      <c r="C571" s="5" t="s">
        <v>53</v>
      </c>
      <c r="D571" s="5" t="s">
        <v>869</v>
      </c>
      <c r="E571" s="35">
        <v>33675.0</v>
      </c>
      <c r="F571" s="5">
        <v>6.282337210142E12</v>
      </c>
      <c r="G571" s="1" t="s">
        <v>2406</v>
      </c>
      <c r="H571" s="5" t="s">
        <v>481</v>
      </c>
      <c r="I571" s="5" t="s">
        <v>57</v>
      </c>
      <c r="J571" s="5" t="s">
        <v>1703</v>
      </c>
    </row>
    <row r="572">
      <c r="A572" s="1" t="s">
        <v>2407</v>
      </c>
      <c r="B572" s="5" t="s">
        <v>2408</v>
      </c>
      <c r="C572" s="5" t="s">
        <v>53</v>
      </c>
      <c r="D572" s="5" t="s">
        <v>2409</v>
      </c>
      <c r="E572" s="36">
        <v>37972.0</v>
      </c>
      <c r="F572" s="5">
        <v>6.28211449741E12</v>
      </c>
      <c r="G572" s="1" t="s">
        <v>2410</v>
      </c>
      <c r="H572" s="5" t="s">
        <v>544</v>
      </c>
      <c r="I572" s="5" t="s">
        <v>57</v>
      </c>
      <c r="J572" s="5" t="s">
        <v>1598</v>
      </c>
      <c r="K572" s="5" t="s">
        <v>1288</v>
      </c>
      <c r="L572" s="5" t="s">
        <v>653</v>
      </c>
    </row>
    <row r="573">
      <c r="A573" s="1" t="s">
        <v>2411</v>
      </c>
      <c r="B573" s="5" t="s">
        <v>2412</v>
      </c>
      <c r="C573" s="5" t="s">
        <v>76</v>
      </c>
      <c r="D573" s="5" t="s">
        <v>567</v>
      </c>
      <c r="E573" s="36">
        <v>35638.0</v>
      </c>
      <c r="F573" s="5">
        <v>6.28781771389E12</v>
      </c>
      <c r="G573" s="1" t="s">
        <v>2413</v>
      </c>
      <c r="H573" s="5" t="s">
        <v>308</v>
      </c>
      <c r="I573" s="5" t="s">
        <v>57</v>
      </c>
      <c r="J573" s="5" t="s">
        <v>569</v>
      </c>
      <c r="K573" s="5" t="s">
        <v>523</v>
      </c>
      <c r="L573" s="5" t="s">
        <v>746</v>
      </c>
    </row>
    <row r="574">
      <c r="A574" s="1" t="s">
        <v>2414</v>
      </c>
      <c r="B574" s="5" t="s">
        <v>2415</v>
      </c>
      <c r="C574" s="5" t="s">
        <v>53</v>
      </c>
      <c r="D574" s="5" t="s">
        <v>2416</v>
      </c>
      <c r="E574" s="35">
        <v>34048.0</v>
      </c>
      <c r="F574" s="5">
        <v>6.5274248636E10</v>
      </c>
      <c r="G574" s="1" t="s">
        <v>2417</v>
      </c>
      <c r="H574" s="5" t="s">
        <v>939</v>
      </c>
      <c r="I574" s="5" t="s">
        <v>57</v>
      </c>
      <c r="J574" s="5" t="s">
        <v>309</v>
      </c>
    </row>
    <row r="575">
      <c r="A575" s="1" t="s">
        <v>2418</v>
      </c>
      <c r="B575" s="5" t="s">
        <v>2419</v>
      </c>
      <c r="C575" s="5" t="s">
        <v>53</v>
      </c>
      <c r="D575" s="5" t="s">
        <v>479</v>
      </c>
      <c r="E575" s="36">
        <v>34841.0</v>
      </c>
      <c r="F575" s="5">
        <v>6.285642768014E12</v>
      </c>
      <c r="G575" s="1" t="s">
        <v>2420</v>
      </c>
      <c r="H575" s="5" t="s">
        <v>649</v>
      </c>
      <c r="I575" s="5" t="s">
        <v>57</v>
      </c>
      <c r="J575" s="5" t="s">
        <v>996</v>
      </c>
      <c r="K575" s="5" t="s">
        <v>529</v>
      </c>
      <c r="L575" s="5" t="s">
        <v>2421</v>
      </c>
    </row>
    <row r="576">
      <c r="A576" s="1" t="s">
        <v>2422</v>
      </c>
      <c r="B576" s="5" t="s">
        <v>2423</v>
      </c>
      <c r="C576" s="5" t="s">
        <v>76</v>
      </c>
      <c r="D576" s="5" t="s">
        <v>781</v>
      </c>
      <c r="E576" s="36">
        <v>35496.0</v>
      </c>
      <c r="F576" s="5">
        <v>6.285817743963E12</v>
      </c>
      <c r="G576" s="1" t="s">
        <v>2424</v>
      </c>
      <c r="H576" s="5" t="s">
        <v>516</v>
      </c>
      <c r="I576" s="5" t="s">
        <v>57</v>
      </c>
      <c r="J576" s="5" t="s">
        <v>783</v>
      </c>
      <c r="K576" s="5" t="s">
        <v>501</v>
      </c>
      <c r="L576" s="5" t="s">
        <v>501</v>
      </c>
    </row>
    <row r="577">
      <c r="A577" s="1" t="s">
        <v>2425</v>
      </c>
      <c r="B577" s="5" t="s">
        <v>2426</v>
      </c>
      <c r="C577" s="5" t="s">
        <v>53</v>
      </c>
      <c r="D577" s="5" t="s">
        <v>537</v>
      </c>
      <c r="E577" s="36">
        <v>36717.0</v>
      </c>
      <c r="F577" s="5">
        <v>6.287777353832E12</v>
      </c>
      <c r="G577" s="1" t="s">
        <v>2427</v>
      </c>
      <c r="H577" s="5" t="s">
        <v>236</v>
      </c>
      <c r="I577" s="5" t="s">
        <v>57</v>
      </c>
      <c r="J577" s="5" t="s">
        <v>923</v>
      </c>
      <c r="K577" s="5" t="s">
        <v>1542</v>
      </c>
      <c r="L577" s="5" t="s">
        <v>883</v>
      </c>
    </row>
    <row r="578">
      <c r="A578" s="1" t="s">
        <v>2428</v>
      </c>
      <c r="E578" s="35"/>
      <c r="G578" s="1"/>
    </row>
    <row r="579">
      <c r="A579" s="1" t="s">
        <v>2429</v>
      </c>
      <c r="B579" s="5" t="s">
        <v>2430</v>
      </c>
      <c r="C579" s="5" t="s">
        <v>53</v>
      </c>
      <c r="D579" s="5" t="s">
        <v>567</v>
      </c>
      <c r="E579" s="36">
        <v>35787.0</v>
      </c>
      <c r="F579" s="5">
        <v>6.28135004098E12</v>
      </c>
      <c r="G579" s="1" t="s">
        <v>2431</v>
      </c>
      <c r="H579" s="5" t="s">
        <v>438</v>
      </c>
      <c r="I579" s="5" t="s">
        <v>57</v>
      </c>
      <c r="J579" s="5" t="s">
        <v>569</v>
      </c>
      <c r="K579" s="5" t="s">
        <v>842</v>
      </c>
      <c r="L579" s="5" t="s">
        <v>799</v>
      </c>
    </row>
    <row r="580">
      <c r="A580" s="1" t="s">
        <v>2432</v>
      </c>
      <c r="B580" s="5" t="s">
        <v>2433</v>
      </c>
      <c r="C580" s="5" t="s">
        <v>76</v>
      </c>
      <c r="D580" s="5" t="s">
        <v>479</v>
      </c>
      <c r="E580" s="36">
        <v>36811.0</v>
      </c>
      <c r="F580" s="5">
        <v>6.283837104047E12</v>
      </c>
      <c r="G580" s="1" t="s">
        <v>2434</v>
      </c>
      <c r="H580" s="5" t="s">
        <v>236</v>
      </c>
      <c r="I580" s="5" t="s">
        <v>57</v>
      </c>
      <c r="J580" s="5" t="s">
        <v>385</v>
      </c>
      <c r="K580" s="5" t="s">
        <v>500</v>
      </c>
      <c r="L580" s="5" t="s">
        <v>2435</v>
      </c>
    </row>
    <row r="581">
      <c r="A581" s="1" t="s">
        <v>2436</v>
      </c>
      <c r="B581" s="5" t="s">
        <v>2437</v>
      </c>
      <c r="C581" s="5" t="s">
        <v>53</v>
      </c>
      <c r="D581" s="5" t="s">
        <v>1054</v>
      </c>
      <c r="E581" s="35">
        <v>34207.0</v>
      </c>
      <c r="F581" s="5">
        <v>6.282243469911E12</v>
      </c>
      <c r="G581" s="1" t="s">
        <v>2438</v>
      </c>
      <c r="H581" s="5" t="s">
        <v>939</v>
      </c>
      <c r="I581" s="5" t="s">
        <v>57</v>
      </c>
      <c r="J581" s="5" t="s">
        <v>613</v>
      </c>
      <c r="K581" s="5" t="s">
        <v>1449</v>
      </c>
      <c r="L581" s="5" t="s">
        <v>1454</v>
      </c>
    </row>
    <row r="582">
      <c r="A582" s="1" t="s">
        <v>2439</v>
      </c>
      <c r="B582" s="5" t="s">
        <v>2440</v>
      </c>
      <c r="C582" s="5" t="s">
        <v>76</v>
      </c>
      <c r="D582" s="5" t="s">
        <v>2211</v>
      </c>
      <c r="E582" s="35">
        <v>36878.0</v>
      </c>
      <c r="F582" s="5">
        <v>6.281279986121E12</v>
      </c>
      <c r="G582" s="1" t="s">
        <v>2441</v>
      </c>
      <c r="H582" s="5" t="s">
        <v>293</v>
      </c>
      <c r="I582" s="5" t="s">
        <v>57</v>
      </c>
      <c r="J582" s="5" t="s">
        <v>482</v>
      </c>
    </row>
    <row r="583">
      <c r="A583" s="1" t="s">
        <v>2442</v>
      </c>
      <c r="B583" s="5" t="s">
        <v>2443</v>
      </c>
      <c r="C583" s="5" t="s">
        <v>53</v>
      </c>
      <c r="D583" s="5" t="s">
        <v>2444</v>
      </c>
      <c r="E583" s="36">
        <v>34428.0</v>
      </c>
      <c r="F583" s="5">
        <v>6.285225388366E12</v>
      </c>
      <c r="G583" s="1" t="s">
        <v>2445</v>
      </c>
      <c r="H583" s="5" t="s">
        <v>661</v>
      </c>
      <c r="I583" s="5" t="s">
        <v>57</v>
      </c>
      <c r="J583" s="5" t="s">
        <v>385</v>
      </c>
      <c r="K583" s="5" t="s">
        <v>2446</v>
      </c>
      <c r="L583" s="5" t="s">
        <v>2447</v>
      </c>
    </row>
    <row r="584">
      <c r="A584" s="1" t="s">
        <v>2448</v>
      </c>
      <c r="B584" s="5" t="s">
        <v>2449</v>
      </c>
      <c r="C584" s="5" t="s">
        <v>76</v>
      </c>
      <c r="D584" s="5" t="s">
        <v>537</v>
      </c>
      <c r="E584" s="36">
        <v>35578.0</v>
      </c>
      <c r="F584" s="5">
        <v>6.28174900397E11</v>
      </c>
      <c r="G584" s="1" t="s">
        <v>2450</v>
      </c>
      <c r="H584" s="5" t="s">
        <v>308</v>
      </c>
      <c r="I584" s="5" t="s">
        <v>57</v>
      </c>
      <c r="J584" s="5" t="s">
        <v>787</v>
      </c>
      <c r="K584" s="5" t="s">
        <v>539</v>
      </c>
      <c r="L584" s="5" t="s">
        <v>859</v>
      </c>
    </row>
    <row r="585">
      <c r="A585" s="1" t="s">
        <v>2451</v>
      </c>
      <c r="B585" s="5" t="s">
        <v>2452</v>
      </c>
      <c r="C585" s="5" t="s">
        <v>76</v>
      </c>
      <c r="D585" s="5" t="s">
        <v>537</v>
      </c>
      <c r="E585" s="36">
        <v>34084.0</v>
      </c>
      <c r="F585" s="5">
        <v>6.28175106377E11</v>
      </c>
      <c r="G585" s="1" t="s">
        <v>2453</v>
      </c>
      <c r="H585" s="5" t="s">
        <v>939</v>
      </c>
      <c r="I585" s="5" t="s">
        <v>57</v>
      </c>
      <c r="J585" s="5" t="s">
        <v>506</v>
      </c>
      <c r="K585" s="5" t="s">
        <v>2454</v>
      </c>
      <c r="L585" s="5" t="s">
        <v>2455</v>
      </c>
    </row>
    <row r="586">
      <c r="A586" s="1" t="s">
        <v>2456</v>
      </c>
      <c r="B586" s="5" t="s">
        <v>2457</v>
      </c>
      <c r="C586" s="5" t="s">
        <v>76</v>
      </c>
      <c r="D586" s="5" t="s">
        <v>2458</v>
      </c>
      <c r="E586" s="36">
        <v>36673.0</v>
      </c>
      <c r="F586" s="5">
        <v>6.285333085625E12</v>
      </c>
      <c r="G586" s="1" t="s">
        <v>2459</v>
      </c>
      <c r="H586" s="5" t="s">
        <v>516</v>
      </c>
      <c r="I586" s="5" t="s">
        <v>57</v>
      </c>
      <c r="J586" s="5" t="s">
        <v>581</v>
      </c>
      <c r="K586" s="5" t="s">
        <v>848</v>
      </c>
      <c r="L586" s="5" t="s">
        <v>849</v>
      </c>
    </row>
    <row r="587">
      <c r="A587" s="1" t="s">
        <v>2460</v>
      </c>
      <c r="B587" s="5" t="s">
        <v>2461</v>
      </c>
      <c r="C587" s="5" t="s">
        <v>53</v>
      </c>
      <c r="D587" s="5" t="s">
        <v>271</v>
      </c>
      <c r="E587" s="36">
        <v>34495.0</v>
      </c>
      <c r="F587" s="5">
        <v>6.282237793239E12</v>
      </c>
      <c r="G587" s="1" t="s">
        <v>2462</v>
      </c>
      <c r="H587" s="5" t="s">
        <v>661</v>
      </c>
      <c r="I587" s="5" t="s">
        <v>57</v>
      </c>
      <c r="J587" s="5" t="s">
        <v>787</v>
      </c>
      <c r="K587" s="5" t="s">
        <v>500</v>
      </c>
      <c r="L587" s="5" t="s">
        <v>592</v>
      </c>
    </row>
    <row r="588">
      <c r="A588" s="1" t="s">
        <v>2463</v>
      </c>
      <c r="B588" s="5" t="s">
        <v>2464</v>
      </c>
      <c r="C588" s="5" t="s">
        <v>53</v>
      </c>
      <c r="D588" s="5" t="s">
        <v>537</v>
      </c>
      <c r="E588" s="36">
        <v>32896.0</v>
      </c>
      <c r="F588" s="5">
        <v>6.287777148023E12</v>
      </c>
      <c r="G588" s="1" t="s">
        <v>2465</v>
      </c>
      <c r="H588" s="5" t="s">
        <v>1032</v>
      </c>
      <c r="I588" s="5" t="s">
        <v>57</v>
      </c>
      <c r="J588" s="5" t="s">
        <v>2466</v>
      </c>
      <c r="K588" s="5" t="s">
        <v>523</v>
      </c>
      <c r="L588" s="5" t="s">
        <v>524</v>
      </c>
    </row>
    <row r="589">
      <c r="A589" s="1" t="s">
        <v>2467</v>
      </c>
      <c r="B589" s="5" t="s">
        <v>2468</v>
      </c>
      <c r="C589" s="5" t="s">
        <v>76</v>
      </c>
      <c r="D589" s="5" t="s">
        <v>823</v>
      </c>
      <c r="E589" s="36">
        <v>33527.0</v>
      </c>
      <c r="F589" s="5">
        <v>6.287738090969E12</v>
      </c>
      <c r="G589" s="1" t="s">
        <v>2469</v>
      </c>
      <c r="H589" s="5" t="s">
        <v>575</v>
      </c>
      <c r="I589" s="5" t="s">
        <v>57</v>
      </c>
      <c r="J589" s="5" t="s">
        <v>696</v>
      </c>
      <c r="K589" s="5" t="s">
        <v>697</v>
      </c>
      <c r="L589" s="5" t="s">
        <v>697</v>
      </c>
    </row>
    <row r="590">
      <c r="A590" s="1" t="s">
        <v>2470</v>
      </c>
      <c r="B590" s="5" t="s">
        <v>2471</v>
      </c>
      <c r="C590" s="5" t="s">
        <v>53</v>
      </c>
      <c r="D590" s="5" t="s">
        <v>2472</v>
      </c>
      <c r="E590" s="36">
        <v>37564.0</v>
      </c>
      <c r="F590" s="5">
        <v>6.281328658146E12</v>
      </c>
      <c r="G590" s="1" t="s">
        <v>2473</v>
      </c>
      <c r="H590" s="5" t="s">
        <v>544</v>
      </c>
      <c r="I590" s="5" t="s">
        <v>57</v>
      </c>
      <c r="J590" s="5" t="s">
        <v>506</v>
      </c>
      <c r="K590" s="5" t="s">
        <v>697</v>
      </c>
      <c r="L590" s="5" t="s">
        <v>697</v>
      </c>
    </row>
    <row r="591">
      <c r="A591" s="1" t="s">
        <v>2474</v>
      </c>
      <c r="B591" s="5" t="s">
        <v>2475</v>
      </c>
      <c r="C591" s="5" t="s">
        <v>53</v>
      </c>
      <c r="D591" s="5" t="s">
        <v>271</v>
      </c>
      <c r="E591" s="36">
        <v>35066.0</v>
      </c>
      <c r="F591" s="5">
        <v>6.285722505152E12</v>
      </c>
      <c r="G591" s="1" t="s">
        <v>2476</v>
      </c>
      <c r="H591" s="5" t="s">
        <v>661</v>
      </c>
      <c r="I591" s="5" t="s">
        <v>57</v>
      </c>
      <c r="J591" s="5" t="s">
        <v>1434</v>
      </c>
      <c r="K591" s="5" t="s">
        <v>529</v>
      </c>
      <c r="L591" s="5" t="s">
        <v>2477</v>
      </c>
    </row>
    <row r="592">
      <c r="A592" s="1" t="s">
        <v>2478</v>
      </c>
      <c r="B592" s="5" t="s">
        <v>2479</v>
      </c>
      <c r="C592" s="5" t="s">
        <v>76</v>
      </c>
      <c r="D592" s="5" t="s">
        <v>2480</v>
      </c>
      <c r="E592" s="36">
        <v>36150.0</v>
      </c>
      <c r="F592" s="5">
        <v>6.281265205215E12</v>
      </c>
      <c r="G592" s="1" t="s">
        <v>2481</v>
      </c>
      <c r="H592" s="5" t="s">
        <v>438</v>
      </c>
      <c r="I592" s="5" t="s">
        <v>57</v>
      </c>
      <c r="J592" s="5" t="s">
        <v>517</v>
      </c>
      <c r="K592" s="5" t="s">
        <v>539</v>
      </c>
      <c r="L592" s="5" t="s">
        <v>799</v>
      </c>
    </row>
    <row r="593">
      <c r="A593" s="1" t="s">
        <v>2482</v>
      </c>
      <c r="B593" s="5" t="s">
        <v>2483</v>
      </c>
      <c r="C593" s="5" t="s">
        <v>76</v>
      </c>
      <c r="D593" s="5" t="s">
        <v>298</v>
      </c>
      <c r="E593" s="36">
        <v>37585.0</v>
      </c>
      <c r="F593" s="5">
        <v>6.281328377678E12</v>
      </c>
      <c r="G593" s="1" t="s">
        <v>2484</v>
      </c>
      <c r="H593" s="5" t="s">
        <v>544</v>
      </c>
      <c r="I593" s="5" t="s">
        <v>57</v>
      </c>
      <c r="J593" s="5" t="s">
        <v>482</v>
      </c>
      <c r="K593" s="5" t="s">
        <v>556</v>
      </c>
      <c r="L593" s="5" t="s">
        <v>808</v>
      </c>
    </row>
    <row r="594">
      <c r="A594" s="1" t="s">
        <v>2485</v>
      </c>
      <c r="B594" s="5" t="s">
        <v>2486</v>
      </c>
      <c r="C594" s="5" t="s">
        <v>76</v>
      </c>
      <c r="D594" s="5" t="s">
        <v>968</v>
      </c>
      <c r="E594" s="36">
        <v>34803.0</v>
      </c>
      <c r="F594" s="5">
        <v>6.281333459515E12</v>
      </c>
      <c r="G594" s="1" t="s">
        <v>2487</v>
      </c>
      <c r="H594" s="5" t="s">
        <v>649</v>
      </c>
      <c r="I594" s="5" t="s">
        <v>57</v>
      </c>
      <c r="J594" s="5" t="s">
        <v>506</v>
      </c>
      <c r="K594" s="5" t="s">
        <v>842</v>
      </c>
      <c r="L594" s="5" t="s">
        <v>799</v>
      </c>
    </row>
    <row r="595">
      <c r="A595" s="1" t="s">
        <v>2488</v>
      </c>
      <c r="B595" s="5" t="s">
        <v>2489</v>
      </c>
      <c r="C595" s="5" t="s">
        <v>76</v>
      </c>
      <c r="D595" s="5" t="s">
        <v>618</v>
      </c>
      <c r="E595" s="36">
        <v>32524.0</v>
      </c>
      <c r="F595" s="5">
        <v>6.285158162799E12</v>
      </c>
      <c r="G595" s="1" t="s">
        <v>2490</v>
      </c>
      <c r="H595" s="5" t="s">
        <v>1065</v>
      </c>
      <c r="I595" s="5" t="s">
        <v>57</v>
      </c>
      <c r="J595" s="5" t="s">
        <v>1137</v>
      </c>
      <c r="K595" s="5" t="s">
        <v>1138</v>
      </c>
      <c r="L595" s="5" t="s">
        <v>1118</v>
      </c>
    </row>
    <row r="596">
      <c r="A596" s="1" t="s">
        <v>2491</v>
      </c>
      <c r="B596" s="5" t="s">
        <v>2492</v>
      </c>
      <c r="C596" s="5" t="s">
        <v>53</v>
      </c>
      <c r="D596" s="5" t="s">
        <v>1706</v>
      </c>
      <c r="E596" s="36">
        <v>32478.0</v>
      </c>
      <c r="F596" s="5">
        <v>6.28564080499E12</v>
      </c>
      <c r="G596" s="1" t="s">
        <v>2493</v>
      </c>
      <c r="H596" s="5" t="s">
        <v>190</v>
      </c>
      <c r="I596" s="5" t="s">
        <v>57</v>
      </c>
      <c r="J596" s="5" t="s">
        <v>385</v>
      </c>
      <c r="K596" s="5" t="s">
        <v>523</v>
      </c>
      <c r="L596" s="5" t="s">
        <v>2494</v>
      </c>
    </row>
    <row r="597">
      <c r="A597" s="1" t="s">
        <v>2495</v>
      </c>
      <c r="B597" s="5" t="s">
        <v>2496</v>
      </c>
      <c r="C597" s="5" t="s">
        <v>76</v>
      </c>
      <c r="D597" s="5" t="s">
        <v>537</v>
      </c>
      <c r="E597" s="36">
        <v>36940.0</v>
      </c>
      <c r="F597" s="5">
        <v>6.28561010911E11</v>
      </c>
      <c r="G597" s="1" t="s">
        <v>2497</v>
      </c>
      <c r="H597" s="5" t="s">
        <v>236</v>
      </c>
      <c r="I597" s="5" t="s">
        <v>57</v>
      </c>
      <c r="J597" s="5" t="s">
        <v>590</v>
      </c>
      <c r="K597" s="5" t="s">
        <v>529</v>
      </c>
      <c r="L597" s="5" t="s">
        <v>530</v>
      </c>
    </row>
    <row r="598">
      <c r="A598" s="1" t="s">
        <v>2498</v>
      </c>
      <c r="B598" s="5" t="s">
        <v>2499</v>
      </c>
      <c r="C598" s="5" t="s">
        <v>53</v>
      </c>
      <c r="D598" s="5" t="s">
        <v>2395</v>
      </c>
      <c r="E598" s="36">
        <v>37738.0</v>
      </c>
      <c r="F598" s="5">
        <v>6.285156833966E12</v>
      </c>
      <c r="G598" s="1" t="s">
        <v>2500</v>
      </c>
      <c r="H598" s="5" t="s">
        <v>544</v>
      </c>
      <c r="I598" s="5" t="s">
        <v>57</v>
      </c>
      <c r="J598" s="5" t="s">
        <v>984</v>
      </c>
      <c r="K598" s="5" t="s">
        <v>529</v>
      </c>
      <c r="L598" s="5" t="s">
        <v>2501</v>
      </c>
    </row>
    <row r="599">
      <c r="A599" s="1" t="s">
        <v>2502</v>
      </c>
      <c r="B599" s="5" t="s">
        <v>2503</v>
      </c>
      <c r="C599" s="5" t="s">
        <v>53</v>
      </c>
      <c r="D599" s="5" t="s">
        <v>741</v>
      </c>
      <c r="E599" s="36">
        <v>37731.0</v>
      </c>
      <c r="F599" s="5">
        <v>6.289636734885E12</v>
      </c>
      <c r="G599" s="1" t="s">
        <v>2504</v>
      </c>
      <c r="H599" s="5" t="s">
        <v>544</v>
      </c>
      <c r="I599" s="5" t="s">
        <v>57</v>
      </c>
      <c r="J599" s="5" t="s">
        <v>590</v>
      </c>
      <c r="K599" s="5" t="s">
        <v>529</v>
      </c>
      <c r="L599" s="5" t="s">
        <v>530</v>
      </c>
    </row>
    <row r="600">
      <c r="A600" s="1" t="s">
        <v>2505</v>
      </c>
      <c r="B600" s="5" t="s">
        <v>2506</v>
      </c>
      <c r="C600" s="5" t="s">
        <v>76</v>
      </c>
      <c r="D600" s="5" t="s">
        <v>869</v>
      </c>
      <c r="E600" s="36">
        <v>37769.0</v>
      </c>
      <c r="F600" s="5">
        <v>6.285701210623E12</v>
      </c>
      <c r="G600" s="1" t="s">
        <v>2507</v>
      </c>
      <c r="H600" s="5" t="s">
        <v>544</v>
      </c>
      <c r="I600" s="5" t="s">
        <v>57</v>
      </c>
      <c r="J600" s="5" t="s">
        <v>1205</v>
      </c>
      <c r="K600" s="5" t="s">
        <v>523</v>
      </c>
      <c r="L600" s="5" t="s">
        <v>577</v>
      </c>
    </row>
    <row r="601">
      <c r="A601" s="1" t="s">
        <v>2508</v>
      </c>
      <c r="B601" s="5" t="s">
        <v>2509</v>
      </c>
      <c r="C601" s="5" t="s">
        <v>76</v>
      </c>
      <c r="D601" s="5" t="s">
        <v>2510</v>
      </c>
      <c r="E601" s="36">
        <v>37618.0</v>
      </c>
      <c r="F601" s="5">
        <v>6.281286053758E12</v>
      </c>
      <c r="G601" s="1" t="s">
        <v>2511</v>
      </c>
      <c r="H601" s="5" t="s">
        <v>544</v>
      </c>
      <c r="I601" s="5" t="s">
        <v>57</v>
      </c>
      <c r="J601" s="5" t="s">
        <v>923</v>
      </c>
      <c r="K601" s="5" t="s">
        <v>556</v>
      </c>
      <c r="L601" s="5" t="s">
        <v>2512</v>
      </c>
    </row>
    <row r="602">
      <c r="A602" s="1" t="s">
        <v>2513</v>
      </c>
      <c r="B602" s="5" t="s">
        <v>2514</v>
      </c>
      <c r="C602" s="5" t="s">
        <v>76</v>
      </c>
      <c r="D602" s="5" t="s">
        <v>271</v>
      </c>
      <c r="E602" s="36">
        <v>34859.0</v>
      </c>
      <c r="F602" s="5">
        <v>6.281220360642E12</v>
      </c>
      <c r="G602" s="1" t="s">
        <v>2515</v>
      </c>
      <c r="H602" s="5" t="s">
        <v>649</v>
      </c>
      <c r="I602" s="5" t="s">
        <v>57</v>
      </c>
      <c r="J602" s="5" t="s">
        <v>2516</v>
      </c>
      <c r="K602" s="5" t="s">
        <v>1449</v>
      </c>
      <c r="L602" s="5" t="s">
        <v>2517</v>
      </c>
    </row>
    <row r="603">
      <c r="A603" s="1" t="s">
        <v>2518</v>
      </c>
      <c r="B603" s="5" t="s">
        <v>2519</v>
      </c>
      <c r="C603" s="5" t="s">
        <v>76</v>
      </c>
      <c r="D603" s="5" t="s">
        <v>689</v>
      </c>
      <c r="E603" s="36">
        <v>37808.0</v>
      </c>
      <c r="F603" s="5">
        <v>6.2811235778E10</v>
      </c>
      <c r="G603" s="1" t="s">
        <v>2520</v>
      </c>
      <c r="H603" s="5" t="s">
        <v>544</v>
      </c>
      <c r="I603" s="5" t="s">
        <v>57</v>
      </c>
      <c r="J603" s="5" t="s">
        <v>1409</v>
      </c>
      <c r="K603" s="5" t="s">
        <v>672</v>
      </c>
      <c r="L603" s="5" t="s">
        <v>2521</v>
      </c>
    </row>
    <row r="604">
      <c r="A604" s="1" t="s">
        <v>2522</v>
      </c>
      <c r="B604" s="5" t="s">
        <v>2523</v>
      </c>
      <c r="C604" s="5" t="s">
        <v>76</v>
      </c>
      <c r="D604" s="5" t="s">
        <v>2524</v>
      </c>
      <c r="E604" s="36">
        <v>37706.0</v>
      </c>
      <c r="F604" s="5">
        <v>6.282341816416E12</v>
      </c>
      <c r="G604" s="1" t="s">
        <v>2525</v>
      </c>
      <c r="H604" s="5" t="s">
        <v>544</v>
      </c>
      <c r="I604" s="5" t="s">
        <v>57</v>
      </c>
      <c r="J604" s="5" t="s">
        <v>787</v>
      </c>
      <c r="K604" s="5" t="s">
        <v>539</v>
      </c>
      <c r="L604" s="5" t="s">
        <v>799</v>
      </c>
    </row>
    <row r="605">
      <c r="A605" s="1" t="s">
        <v>2526</v>
      </c>
      <c r="B605" s="5" t="s">
        <v>2527</v>
      </c>
      <c r="C605" s="5" t="s">
        <v>53</v>
      </c>
      <c r="D605" s="5" t="s">
        <v>533</v>
      </c>
      <c r="E605" s="36">
        <v>36483.0</v>
      </c>
      <c r="F605" s="5">
        <v>6.285845163572E12</v>
      </c>
      <c r="G605" s="1" t="s">
        <v>2528</v>
      </c>
      <c r="H605" s="5" t="s">
        <v>516</v>
      </c>
      <c r="I605" s="5" t="s">
        <v>57</v>
      </c>
      <c r="J605" s="5" t="s">
        <v>58</v>
      </c>
      <c r="K605" s="5" t="s">
        <v>500</v>
      </c>
      <c r="L605" s="5" t="s">
        <v>1292</v>
      </c>
    </row>
    <row r="606">
      <c r="A606" s="1" t="s">
        <v>2529</v>
      </c>
      <c r="B606" s="5" t="s">
        <v>2530</v>
      </c>
      <c r="C606" s="5" t="s">
        <v>76</v>
      </c>
      <c r="D606" s="5" t="s">
        <v>497</v>
      </c>
      <c r="E606" s="36">
        <v>37645.0</v>
      </c>
      <c r="F606" s="5">
        <v>6.28212405565E12</v>
      </c>
      <c r="G606" s="1" t="s">
        <v>2531</v>
      </c>
      <c r="H606" s="5" t="s">
        <v>544</v>
      </c>
      <c r="I606" s="5" t="s">
        <v>57</v>
      </c>
      <c r="J606" s="5" t="s">
        <v>923</v>
      </c>
      <c r="K606" s="5" t="s">
        <v>539</v>
      </c>
      <c r="L606" s="5" t="s">
        <v>540</v>
      </c>
    </row>
    <row r="607">
      <c r="A607" s="1" t="s">
        <v>2532</v>
      </c>
      <c r="B607" s="5" t="s">
        <v>2533</v>
      </c>
      <c r="C607" s="5" t="s">
        <v>76</v>
      </c>
      <c r="D607" s="5" t="s">
        <v>823</v>
      </c>
      <c r="E607" s="36">
        <v>37644.0</v>
      </c>
      <c r="F607" s="5">
        <v>6.28728324E11</v>
      </c>
      <c r="G607" s="1" t="s">
        <v>2534</v>
      </c>
      <c r="H607" s="5" t="s">
        <v>544</v>
      </c>
      <c r="I607" s="5" t="s">
        <v>57</v>
      </c>
      <c r="J607" s="5" t="s">
        <v>506</v>
      </c>
      <c r="K607" s="5" t="s">
        <v>539</v>
      </c>
      <c r="L607" s="5" t="s">
        <v>540</v>
      </c>
    </row>
    <row r="608">
      <c r="A608" s="1" t="s">
        <v>2535</v>
      </c>
      <c r="B608" s="5" t="s">
        <v>2536</v>
      </c>
      <c r="C608" s="5" t="s">
        <v>76</v>
      </c>
      <c r="D608" s="5" t="s">
        <v>1813</v>
      </c>
      <c r="E608" s="36">
        <v>37824.0</v>
      </c>
      <c r="F608" s="5">
        <v>6.281234472186E12</v>
      </c>
      <c r="G608" s="1" t="s">
        <v>2537</v>
      </c>
      <c r="H608" s="5" t="s">
        <v>544</v>
      </c>
      <c r="I608" s="5" t="s">
        <v>57</v>
      </c>
      <c r="J608" s="5" t="s">
        <v>506</v>
      </c>
      <c r="K608" s="5" t="s">
        <v>910</v>
      </c>
      <c r="L608" s="5" t="s">
        <v>2538</v>
      </c>
    </row>
    <row r="609">
      <c r="A609" s="1" t="s">
        <v>2539</v>
      </c>
      <c r="B609" s="5" t="s">
        <v>2540</v>
      </c>
      <c r="C609" s="5" t="s">
        <v>53</v>
      </c>
      <c r="D609" s="5" t="s">
        <v>968</v>
      </c>
      <c r="E609" s="36">
        <v>35734.0</v>
      </c>
      <c r="F609" s="5">
        <v>6.281216530305E12</v>
      </c>
      <c r="G609" s="1" t="s">
        <v>2541</v>
      </c>
      <c r="H609" s="5" t="s">
        <v>308</v>
      </c>
      <c r="I609" s="5" t="s">
        <v>57</v>
      </c>
      <c r="J609" s="5" t="s">
        <v>506</v>
      </c>
      <c r="K609" s="5" t="s">
        <v>539</v>
      </c>
      <c r="L609" s="5" t="s">
        <v>2542</v>
      </c>
    </row>
    <row r="610">
      <c r="A610" s="1" t="s">
        <v>2543</v>
      </c>
      <c r="B610" s="5" t="s">
        <v>2544</v>
      </c>
      <c r="C610" s="5" t="s">
        <v>53</v>
      </c>
      <c r="D610" s="5" t="s">
        <v>994</v>
      </c>
      <c r="E610" s="36">
        <v>37048.0</v>
      </c>
      <c r="F610" s="5">
        <v>6.281259240079E12</v>
      </c>
      <c r="G610" s="1" t="s">
        <v>2545</v>
      </c>
      <c r="H610" s="5" t="s">
        <v>544</v>
      </c>
      <c r="I610" s="5" t="s">
        <v>57</v>
      </c>
      <c r="J610" s="5" t="s">
        <v>666</v>
      </c>
      <c r="K610" s="5" t="s">
        <v>529</v>
      </c>
      <c r="L610" s="5" t="s">
        <v>530</v>
      </c>
    </row>
    <row r="611">
      <c r="A611" s="1" t="s">
        <v>2546</v>
      </c>
      <c r="B611" s="5" t="s">
        <v>2547</v>
      </c>
      <c r="C611" s="5" t="s">
        <v>76</v>
      </c>
      <c r="D611" s="5" t="s">
        <v>994</v>
      </c>
      <c r="E611" s="36">
        <v>37415.0</v>
      </c>
      <c r="F611" s="5">
        <v>6.282132738671E12</v>
      </c>
      <c r="G611" s="1" t="s">
        <v>2548</v>
      </c>
      <c r="H611" s="5" t="s">
        <v>544</v>
      </c>
      <c r="I611" s="5" t="s">
        <v>57</v>
      </c>
      <c r="J611" s="5" t="s">
        <v>1044</v>
      </c>
      <c r="K611" s="5" t="s">
        <v>842</v>
      </c>
      <c r="L611" s="5" t="s">
        <v>540</v>
      </c>
    </row>
    <row r="612">
      <c r="A612" s="1" t="s">
        <v>2549</v>
      </c>
      <c r="B612" s="5" t="s">
        <v>2550</v>
      </c>
      <c r="C612" s="5" t="s">
        <v>53</v>
      </c>
      <c r="D612" s="5" t="s">
        <v>637</v>
      </c>
      <c r="E612" s="36">
        <v>37709.0</v>
      </c>
      <c r="F612" s="5">
        <v>6.289514587426E12</v>
      </c>
      <c r="G612" s="1" t="s">
        <v>2551</v>
      </c>
      <c r="H612" s="5" t="s">
        <v>544</v>
      </c>
      <c r="I612" s="5" t="s">
        <v>562</v>
      </c>
      <c r="J612" s="5" t="s">
        <v>563</v>
      </c>
      <c r="K612" s="5" t="s">
        <v>529</v>
      </c>
      <c r="L612" s="5" t="s">
        <v>2552</v>
      </c>
    </row>
    <row r="613">
      <c r="A613" s="1" t="s">
        <v>2553</v>
      </c>
      <c r="B613" s="5" t="s">
        <v>2554</v>
      </c>
      <c r="C613" s="5" t="s">
        <v>53</v>
      </c>
      <c r="D613" s="5" t="s">
        <v>2555</v>
      </c>
      <c r="E613" s="36">
        <v>36793.0</v>
      </c>
      <c r="F613" s="5">
        <v>6.281229770783E12</v>
      </c>
      <c r="G613" s="1" t="s">
        <v>2556</v>
      </c>
      <c r="H613" s="5" t="s">
        <v>544</v>
      </c>
      <c r="I613" s="5" t="s">
        <v>57</v>
      </c>
      <c r="J613" s="5" t="s">
        <v>1759</v>
      </c>
      <c r="K613" s="5" t="s">
        <v>529</v>
      </c>
      <c r="L613" s="5" t="s">
        <v>1359</v>
      </c>
    </row>
    <row r="614">
      <c r="A614" s="1" t="s">
        <v>2557</v>
      </c>
      <c r="B614" s="5" t="s">
        <v>2558</v>
      </c>
      <c r="C614" s="5" t="s">
        <v>76</v>
      </c>
      <c r="D614" s="5" t="s">
        <v>1072</v>
      </c>
      <c r="E614" s="36">
        <v>37565.0</v>
      </c>
      <c r="F614" s="5">
        <v>6.2895323408175E13</v>
      </c>
      <c r="G614" s="1" t="s">
        <v>2559</v>
      </c>
      <c r="H614" s="5" t="s">
        <v>544</v>
      </c>
      <c r="I614" s="5" t="s">
        <v>57</v>
      </c>
      <c r="J614" s="5" t="s">
        <v>777</v>
      </c>
      <c r="K614" s="5" t="s">
        <v>2324</v>
      </c>
      <c r="L614" s="5" t="s">
        <v>582</v>
      </c>
    </row>
    <row r="615">
      <c r="A615" s="1" t="s">
        <v>2560</v>
      </c>
      <c r="B615" s="5" t="s">
        <v>2561</v>
      </c>
      <c r="C615" s="5" t="s">
        <v>76</v>
      </c>
      <c r="D615" s="5" t="s">
        <v>1415</v>
      </c>
      <c r="E615" s="36">
        <v>37660.0</v>
      </c>
      <c r="F615" s="5">
        <v>6.288232231054E12</v>
      </c>
      <c r="G615" s="1" t="s">
        <v>2562</v>
      </c>
      <c r="H615" s="5" t="s">
        <v>544</v>
      </c>
      <c r="I615" s="5" t="s">
        <v>57</v>
      </c>
      <c r="J615" s="5" t="s">
        <v>1875</v>
      </c>
      <c r="K615" s="5" t="s">
        <v>2563</v>
      </c>
      <c r="L615" s="5" t="s">
        <v>501</v>
      </c>
    </row>
    <row r="616">
      <c r="A616" s="1" t="s">
        <v>2564</v>
      </c>
      <c r="B616" s="5" t="s">
        <v>2565</v>
      </c>
      <c r="C616" s="5" t="s">
        <v>76</v>
      </c>
      <c r="D616" s="5" t="s">
        <v>641</v>
      </c>
      <c r="E616" s="35">
        <v>35234.0</v>
      </c>
      <c r="F616" s="5">
        <v>6.282280589328E12</v>
      </c>
      <c r="G616" s="1" t="s">
        <v>2566</v>
      </c>
      <c r="H616" s="5" t="s">
        <v>481</v>
      </c>
      <c r="I616" s="5" t="s">
        <v>57</v>
      </c>
      <c r="J616" s="5" t="s">
        <v>643</v>
      </c>
    </row>
    <row r="617">
      <c r="A617" s="1" t="s">
        <v>2567</v>
      </c>
      <c r="B617" s="5" t="s">
        <v>2568</v>
      </c>
      <c r="C617" s="5" t="s">
        <v>76</v>
      </c>
      <c r="D617" s="5" t="s">
        <v>2569</v>
      </c>
      <c r="E617" s="36">
        <v>34836.0</v>
      </c>
      <c r="F617" s="5">
        <v>6.282282109463E12</v>
      </c>
      <c r="G617" s="1" t="s">
        <v>2570</v>
      </c>
      <c r="H617" s="5" t="s">
        <v>649</v>
      </c>
      <c r="I617" s="5" t="s">
        <v>57</v>
      </c>
      <c r="J617" s="5" t="s">
        <v>238</v>
      </c>
      <c r="K617" s="5" t="s">
        <v>1626</v>
      </c>
      <c r="L617" s="5" t="s">
        <v>2571</v>
      </c>
    </row>
    <row r="618">
      <c r="A618" s="1" t="s">
        <v>2572</v>
      </c>
      <c r="B618" s="5" t="s">
        <v>2573</v>
      </c>
      <c r="C618" s="5" t="s">
        <v>53</v>
      </c>
      <c r="D618" s="5" t="s">
        <v>2574</v>
      </c>
      <c r="E618" s="36">
        <v>37359.0</v>
      </c>
      <c r="F618" s="5">
        <v>6.285174385808E12</v>
      </c>
      <c r="G618" s="1" t="s">
        <v>2575</v>
      </c>
      <c r="H618" s="5" t="s">
        <v>474</v>
      </c>
      <c r="I618" s="5" t="s">
        <v>57</v>
      </c>
      <c r="J618" s="5" t="s">
        <v>996</v>
      </c>
      <c r="K618" s="5" t="s">
        <v>529</v>
      </c>
      <c r="L618" s="5" t="s">
        <v>866</v>
      </c>
    </row>
    <row r="619">
      <c r="A619" s="1" t="s">
        <v>2576</v>
      </c>
      <c r="B619" s="5" t="s">
        <v>2577</v>
      </c>
      <c r="C619" s="5" t="s">
        <v>76</v>
      </c>
      <c r="D619" s="5" t="s">
        <v>633</v>
      </c>
      <c r="E619" s="36">
        <v>38080.0</v>
      </c>
      <c r="F619" s="5">
        <v>6.287888299738E12</v>
      </c>
      <c r="G619" s="1" t="s">
        <v>2578</v>
      </c>
      <c r="H619" s="5" t="s">
        <v>544</v>
      </c>
      <c r="I619" s="5" t="s">
        <v>57</v>
      </c>
      <c r="J619" s="5" t="s">
        <v>248</v>
      </c>
      <c r="K619" s="5" t="s">
        <v>539</v>
      </c>
      <c r="L619" s="5" t="s">
        <v>2579</v>
      </c>
    </row>
    <row r="620">
      <c r="A620" s="1" t="s">
        <v>2580</v>
      </c>
      <c r="B620" s="5" t="s">
        <v>2581</v>
      </c>
      <c r="C620" s="5" t="s">
        <v>76</v>
      </c>
      <c r="D620" s="5" t="s">
        <v>2582</v>
      </c>
      <c r="E620" s="36">
        <v>37983.0</v>
      </c>
      <c r="F620" s="5">
        <v>6.281285232626E12</v>
      </c>
      <c r="G620" s="1" t="s">
        <v>2583</v>
      </c>
      <c r="H620" s="5" t="s">
        <v>544</v>
      </c>
      <c r="I620" s="5" t="s">
        <v>57</v>
      </c>
      <c r="J620" s="5" t="s">
        <v>248</v>
      </c>
      <c r="K620" s="5" t="s">
        <v>539</v>
      </c>
      <c r="L620" s="5" t="s">
        <v>2584</v>
      </c>
    </row>
    <row r="621">
      <c r="A621" s="1" t="s">
        <v>2585</v>
      </c>
      <c r="B621" s="5" t="s">
        <v>2586</v>
      </c>
      <c r="C621" s="5" t="s">
        <v>53</v>
      </c>
      <c r="D621" s="5" t="s">
        <v>600</v>
      </c>
      <c r="E621" s="36">
        <v>37914.0</v>
      </c>
      <c r="F621" s="5">
        <v>6.288709716362E12</v>
      </c>
      <c r="G621" s="1" t="s">
        <v>2587</v>
      </c>
      <c r="H621" s="5" t="s">
        <v>544</v>
      </c>
      <c r="I621" s="5" t="s">
        <v>57</v>
      </c>
      <c r="J621" s="5" t="s">
        <v>923</v>
      </c>
      <c r="K621" s="5" t="s">
        <v>500</v>
      </c>
      <c r="L621" s="5" t="s">
        <v>2588</v>
      </c>
    </row>
    <row r="622">
      <c r="A622" s="1" t="s">
        <v>2589</v>
      </c>
      <c r="B622" s="5" t="s">
        <v>2590</v>
      </c>
      <c r="C622" s="5" t="s">
        <v>76</v>
      </c>
      <c r="D622" s="5" t="s">
        <v>741</v>
      </c>
      <c r="E622" s="36">
        <v>37891.0</v>
      </c>
      <c r="F622" s="5">
        <v>6.288211882912E12</v>
      </c>
      <c r="G622" s="1" t="s">
        <v>2591</v>
      </c>
      <c r="H622" s="5" t="s">
        <v>544</v>
      </c>
      <c r="I622" s="5" t="s">
        <v>57</v>
      </c>
      <c r="J622" s="5" t="s">
        <v>248</v>
      </c>
      <c r="K622" s="5" t="s">
        <v>539</v>
      </c>
      <c r="L622" s="5" t="s">
        <v>540</v>
      </c>
    </row>
    <row r="623">
      <c r="A623" s="1" t="s">
        <v>2592</v>
      </c>
      <c r="B623" s="5" t="s">
        <v>2593</v>
      </c>
      <c r="C623" s="5" t="s">
        <v>53</v>
      </c>
      <c r="D623" s="5" t="s">
        <v>623</v>
      </c>
      <c r="E623" s="36">
        <v>32829.0</v>
      </c>
      <c r="F623" s="5">
        <v>6.28127512567E11</v>
      </c>
      <c r="G623" s="1" t="s">
        <v>2594</v>
      </c>
      <c r="H623" s="5" t="s">
        <v>190</v>
      </c>
      <c r="I623" s="5" t="s">
        <v>57</v>
      </c>
      <c r="J623" s="5" t="s">
        <v>625</v>
      </c>
      <c r="K623" s="5" t="s">
        <v>523</v>
      </c>
      <c r="L623" s="5" t="s">
        <v>524</v>
      </c>
    </row>
    <row r="624">
      <c r="A624" s="1" t="s">
        <v>2595</v>
      </c>
      <c r="B624" s="5" t="s">
        <v>2596</v>
      </c>
      <c r="C624" s="5" t="s">
        <v>76</v>
      </c>
      <c r="D624" s="5" t="s">
        <v>1079</v>
      </c>
      <c r="E624" s="36">
        <v>36182.0</v>
      </c>
      <c r="F624" s="5">
        <v>6.282334803991E12</v>
      </c>
      <c r="G624" s="1" t="s">
        <v>2597</v>
      </c>
      <c r="H624" s="5" t="s">
        <v>438</v>
      </c>
      <c r="I624" s="5" t="s">
        <v>57</v>
      </c>
      <c r="J624" s="5" t="s">
        <v>1060</v>
      </c>
      <c r="K624" s="5" t="s">
        <v>1061</v>
      </c>
      <c r="L624" s="5" t="s">
        <v>1964</v>
      </c>
    </row>
    <row r="625">
      <c r="A625" s="1" t="s">
        <v>2598</v>
      </c>
      <c r="B625" s="5" t="s">
        <v>2599</v>
      </c>
      <c r="C625" s="5" t="s">
        <v>76</v>
      </c>
      <c r="D625" s="5" t="s">
        <v>537</v>
      </c>
      <c r="E625" s="36">
        <v>37387.0</v>
      </c>
      <c r="F625" s="5">
        <v>6.285845791227E12</v>
      </c>
      <c r="G625" s="1" t="s">
        <v>2600</v>
      </c>
      <c r="H625" s="5" t="s">
        <v>544</v>
      </c>
      <c r="I625" s="5" t="s">
        <v>57</v>
      </c>
      <c r="J625" s="5" t="s">
        <v>2466</v>
      </c>
      <c r="K625" s="5" t="s">
        <v>577</v>
      </c>
      <c r="L625" s="5" t="s">
        <v>2601</v>
      </c>
    </row>
    <row r="626">
      <c r="A626" s="1" t="s">
        <v>2602</v>
      </c>
      <c r="B626" s="5" t="s">
        <v>2603</v>
      </c>
      <c r="C626" s="5" t="s">
        <v>53</v>
      </c>
      <c r="D626" s="5" t="s">
        <v>1822</v>
      </c>
      <c r="E626" s="36">
        <v>37259.0</v>
      </c>
      <c r="F626" s="5">
        <v>8.17092191149E11</v>
      </c>
      <c r="G626" s="1" t="s">
        <v>2604</v>
      </c>
      <c r="H626" s="5" t="s">
        <v>474</v>
      </c>
      <c r="I626" s="5" t="s">
        <v>57</v>
      </c>
      <c r="J626" s="5" t="s">
        <v>1142</v>
      </c>
      <c r="K626" s="5" t="s">
        <v>1143</v>
      </c>
      <c r="L626" s="5" t="s">
        <v>564</v>
      </c>
    </row>
    <row r="627">
      <c r="A627" s="1" t="s">
        <v>2605</v>
      </c>
      <c r="B627" s="5" t="s">
        <v>2606</v>
      </c>
      <c r="C627" s="5" t="s">
        <v>53</v>
      </c>
      <c r="D627" s="5" t="s">
        <v>968</v>
      </c>
      <c r="E627" s="36">
        <v>35591.0</v>
      </c>
      <c r="F627" s="5">
        <v>6.2895392523877E13</v>
      </c>
      <c r="G627" s="1" t="s">
        <v>2607</v>
      </c>
      <c r="H627" s="5" t="s">
        <v>438</v>
      </c>
      <c r="I627" s="5" t="s">
        <v>57</v>
      </c>
      <c r="J627" s="5" t="s">
        <v>1060</v>
      </c>
      <c r="K627" s="5" t="s">
        <v>1061</v>
      </c>
      <c r="L627" s="5" t="s">
        <v>547</v>
      </c>
    </row>
    <row r="628">
      <c r="A628" s="1" t="s">
        <v>2608</v>
      </c>
      <c r="B628" s="5" t="s">
        <v>2609</v>
      </c>
      <c r="C628" s="5" t="s">
        <v>53</v>
      </c>
      <c r="D628" s="5" t="s">
        <v>2293</v>
      </c>
      <c r="E628" s="36">
        <v>34051.0</v>
      </c>
      <c r="F628" s="5">
        <v>6.2818634825E10</v>
      </c>
      <c r="G628" s="1" t="s">
        <v>2610</v>
      </c>
      <c r="H628" s="5" t="s">
        <v>939</v>
      </c>
      <c r="I628" s="5" t="s">
        <v>57</v>
      </c>
      <c r="J628" s="5" t="s">
        <v>996</v>
      </c>
      <c r="K628" s="5" t="s">
        <v>529</v>
      </c>
      <c r="L628" s="5" t="s">
        <v>866</v>
      </c>
    </row>
    <row r="629">
      <c r="A629" s="1" t="s">
        <v>2611</v>
      </c>
      <c r="B629" s="5" t="s">
        <v>2612</v>
      </c>
      <c r="C629" s="5" t="s">
        <v>76</v>
      </c>
      <c r="D629" s="5" t="s">
        <v>537</v>
      </c>
      <c r="E629" s="36">
        <v>37840.0</v>
      </c>
      <c r="F629" s="5">
        <v>6.285108166888E12</v>
      </c>
      <c r="G629" s="1" t="s">
        <v>2613</v>
      </c>
      <c r="H629" s="5" t="s">
        <v>544</v>
      </c>
      <c r="I629" s="5" t="s">
        <v>57</v>
      </c>
      <c r="J629" s="5" t="s">
        <v>707</v>
      </c>
      <c r="K629" s="5" t="s">
        <v>848</v>
      </c>
      <c r="L629" s="5" t="s">
        <v>849</v>
      </c>
    </row>
    <row r="630">
      <c r="A630" s="1" t="s">
        <v>2614</v>
      </c>
      <c r="B630" s="5" t="s">
        <v>2615</v>
      </c>
      <c r="C630" s="5" t="s">
        <v>53</v>
      </c>
      <c r="D630" s="5" t="s">
        <v>537</v>
      </c>
      <c r="E630" s="36">
        <v>37398.0</v>
      </c>
      <c r="F630" s="5">
        <v>6.285156761075E12</v>
      </c>
      <c r="G630" s="1" t="s">
        <v>2616</v>
      </c>
      <c r="H630" s="5" t="s">
        <v>474</v>
      </c>
      <c r="I630" s="5" t="s">
        <v>57</v>
      </c>
      <c r="J630" s="5" t="s">
        <v>952</v>
      </c>
      <c r="K630" s="5" t="s">
        <v>529</v>
      </c>
      <c r="L630" s="5" t="s">
        <v>530</v>
      </c>
    </row>
    <row r="631">
      <c r="A631" s="1" t="s">
        <v>2617</v>
      </c>
      <c r="B631" s="5" t="s">
        <v>2618</v>
      </c>
      <c r="C631" s="5" t="s">
        <v>76</v>
      </c>
      <c r="D631" s="5" t="s">
        <v>908</v>
      </c>
      <c r="E631" s="36">
        <v>37844.0</v>
      </c>
      <c r="F631" s="5">
        <v>6.282282189761E12</v>
      </c>
      <c r="G631" s="1" t="s">
        <v>2619</v>
      </c>
      <c r="H631" s="5" t="s">
        <v>544</v>
      </c>
      <c r="I631" s="5" t="s">
        <v>57</v>
      </c>
      <c r="J631" s="5" t="s">
        <v>854</v>
      </c>
      <c r="K631" s="5" t="s">
        <v>910</v>
      </c>
      <c r="L631" s="5" t="s">
        <v>697</v>
      </c>
    </row>
    <row r="632">
      <c r="A632" s="1" t="s">
        <v>2620</v>
      </c>
      <c r="B632" s="5" t="s">
        <v>2621</v>
      </c>
      <c r="C632" s="5" t="s">
        <v>76</v>
      </c>
      <c r="D632" s="5" t="s">
        <v>2622</v>
      </c>
      <c r="E632" s="36">
        <v>36249.0</v>
      </c>
      <c r="F632" s="5">
        <v>6.285822122519E12</v>
      </c>
      <c r="G632" s="1" t="s">
        <v>2623</v>
      </c>
      <c r="H632" s="5" t="s">
        <v>438</v>
      </c>
      <c r="I632" s="5" t="s">
        <v>57</v>
      </c>
      <c r="J632" s="5" t="s">
        <v>2466</v>
      </c>
      <c r="K632" s="5" t="s">
        <v>2624</v>
      </c>
      <c r="L632" s="5" t="s">
        <v>1964</v>
      </c>
    </row>
    <row r="633">
      <c r="A633" s="1" t="s">
        <v>2625</v>
      </c>
      <c r="B633" s="5" t="s">
        <v>2626</v>
      </c>
      <c r="C633" s="5" t="s">
        <v>76</v>
      </c>
      <c r="D633" s="5" t="s">
        <v>2627</v>
      </c>
      <c r="E633" s="35">
        <v>35759.0</v>
      </c>
      <c r="F633" s="5">
        <v>6.285361043891E12</v>
      </c>
      <c r="G633" s="1" t="s">
        <v>2628</v>
      </c>
      <c r="H633" s="5" t="s">
        <v>438</v>
      </c>
      <c r="I633" s="5" t="s">
        <v>57</v>
      </c>
      <c r="J633" s="5" t="s">
        <v>1048</v>
      </c>
    </row>
    <row r="634">
      <c r="A634" s="1" t="s">
        <v>2629</v>
      </c>
      <c r="B634" s="5" t="s">
        <v>2630</v>
      </c>
      <c r="C634" s="5" t="s">
        <v>76</v>
      </c>
      <c r="D634" s="5" t="s">
        <v>373</v>
      </c>
      <c r="E634" s="36">
        <v>35956.0</v>
      </c>
      <c r="F634" s="5">
        <v>6.285270710158E12</v>
      </c>
      <c r="G634" s="1" t="s">
        <v>2631</v>
      </c>
      <c r="H634" s="5" t="s">
        <v>438</v>
      </c>
      <c r="I634" s="5" t="s">
        <v>57</v>
      </c>
      <c r="J634" s="5" t="s">
        <v>1048</v>
      </c>
      <c r="K634" s="5" t="s">
        <v>539</v>
      </c>
      <c r="L634" s="5" t="s">
        <v>799</v>
      </c>
    </row>
    <row r="635">
      <c r="A635" s="1" t="s">
        <v>2632</v>
      </c>
      <c r="B635" s="5" t="s">
        <v>2633</v>
      </c>
      <c r="C635" s="5" t="s">
        <v>76</v>
      </c>
      <c r="D635" s="5" t="s">
        <v>2622</v>
      </c>
      <c r="E635" s="35">
        <v>36929.0</v>
      </c>
      <c r="F635" s="5">
        <v>6.282232842881E12</v>
      </c>
      <c r="G635" s="1" t="s">
        <v>2634</v>
      </c>
      <c r="H635" s="5" t="s">
        <v>293</v>
      </c>
      <c r="I635" s="5" t="s">
        <v>57</v>
      </c>
      <c r="J635" s="5" t="s">
        <v>506</v>
      </c>
    </row>
    <row r="636">
      <c r="A636" s="1" t="s">
        <v>2635</v>
      </c>
      <c r="B636" s="5" t="s">
        <v>2636</v>
      </c>
      <c r="C636" s="5" t="s">
        <v>76</v>
      </c>
      <c r="D636" s="5" t="s">
        <v>373</v>
      </c>
      <c r="E636" s="36">
        <v>37384.0</v>
      </c>
      <c r="F636" s="5">
        <v>6.281263110679E12</v>
      </c>
      <c r="G636" s="1" t="s">
        <v>2637</v>
      </c>
      <c r="H636" s="5" t="s">
        <v>474</v>
      </c>
      <c r="I636" s="5" t="s">
        <v>57</v>
      </c>
      <c r="J636" s="5" t="s">
        <v>1048</v>
      </c>
      <c r="K636" s="5" t="s">
        <v>910</v>
      </c>
      <c r="L636" s="5" t="s">
        <v>1978</v>
      </c>
    </row>
    <row r="637">
      <c r="A637" s="1" t="s">
        <v>2638</v>
      </c>
      <c r="B637" s="5" t="s">
        <v>2639</v>
      </c>
      <c r="C637" s="5" t="s">
        <v>53</v>
      </c>
      <c r="D637" s="3" t="s">
        <v>2640</v>
      </c>
      <c r="E637" s="36">
        <v>36270.0</v>
      </c>
      <c r="F637" s="5">
        <v>6.282142770344E12</v>
      </c>
      <c r="G637" s="1" t="s">
        <v>2641</v>
      </c>
      <c r="H637" s="5" t="s">
        <v>516</v>
      </c>
      <c r="I637" s="5" t="s">
        <v>57</v>
      </c>
      <c r="J637" s="5" t="s">
        <v>1044</v>
      </c>
      <c r="K637" s="5" t="s">
        <v>529</v>
      </c>
      <c r="L637" s="5" t="s">
        <v>564</v>
      </c>
    </row>
    <row r="638">
      <c r="A638" s="1" t="s">
        <v>2642</v>
      </c>
      <c r="B638" s="5" t="s">
        <v>2643</v>
      </c>
      <c r="C638" s="5" t="s">
        <v>53</v>
      </c>
      <c r="D638" s="5" t="s">
        <v>2644</v>
      </c>
      <c r="E638" s="36">
        <v>36276.0</v>
      </c>
      <c r="F638" s="5">
        <v>6.281522908329E12</v>
      </c>
      <c r="G638" s="1" t="s">
        <v>2645</v>
      </c>
      <c r="H638" s="5" t="s">
        <v>516</v>
      </c>
      <c r="I638" s="5" t="s">
        <v>562</v>
      </c>
      <c r="J638" s="5" t="s">
        <v>2646</v>
      </c>
      <c r="K638" s="5" t="s">
        <v>529</v>
      </c>
      <c r="L638" s="5" t="s">
        <v>591</v>
      </c>
    </row>
    <row r="639">
      <c r="A639" s="1" t="s">
        <v>2647</v>
      </c>
      <c r="B639" s="5" t="s">
        <v>2648</v>
      </c>
      <c r="C639" s="5" t="s">
        <v>76</v>
      </c>
      <c r="D639" s="5" t="s">
        <v>633</v>
      </c>
      <c r="E639" s="35">
        <v>35539.0</v>
      </c>
      <c r="F639" s="5">
        <v>6.281388212001E12</v>
      </c>
      <c r="G639" s="1" t="s">
        <v>2649</v>
      </c>
      <c r="H639" s="5" t="s">
        <v>308</v>
      </c>
      <c r="I639" s="5" t="s">
        <v>57</v>
      </c>
      <c r="J639" s="5" t="s">
        <v>952</v>
      </c>
    </row>
    <row r="640">
      <c r="A640" s="1" t="s">
        <v>2650</v>
      </c>
      <c r="B640" s="5" t="s">
        <v>2651</v>
      </c>
      <c r="C640" s="5" t="s">
        <v>76</v>
      </c>
      <c r="D640" s="5" t="s">
        <v>2652</v>
      </c>
      <c r="E640" s="36">
        <v>35911.0</v>
      </c>
      <c r="F640" s="5">
        <v>6.285374091475E12</v>
      </c>
      <c r="G640" s="1" t="s">
        <v>2653</v>
      </c>
      <c r="H640" s="5" t="s">
        <v>438</v>
      </c>
      <c r="I640" s="5" t="s">
        <v>57</v>
      </c>
      <c r="J640" s="5" t="s">
        <v>309</v>
      </c>
      <c r="K640" s="5" t="s">
        <v>556</v>
      </c>
      <c r="L640" s="5" t="s">
        <v>2654</v>
      </c>
    </row>
    <row r="641">
      <c r="A641" s="1" t="s">
        <v>2655</v>
      </c>
      <c r="B641" s="5" t="s">
        <v>2656</v>
      </c>
      <c r="C641" s="5" t="s">
        <v>76</v>
      </c>
      <c r="D641" s="5" t="s">
        <v>680</v>
      </c>
      <c r="E641" s="35">
        <v>35864.0</v>
      </c>
      <c r="F641" s="5">
        <v>6.281249331011E12</v>
      </c>
      <c r="G641" s="1" t="s">
        <v>2657</v>
      </c>
      <c r="H641" s="5" t="s">
        <v>438</v>
      </c>
      <c r="I641" s="5" t="s">
        <v>57</v>
      </c>
      <c r="J641" s="5" t="s">
        <v>506</v>
      </c>
    </row>
    <row r="642">
      <c r="A642" s="1" t="s">
        <v>2658</v>
      </c>
      <c r="B642" s="5" t="s">
        <v>2659</v>
      </c>
      <c r="C642" s="5" t="s">
        <v>76</v>
      </c>
      <c r="D642" s="5" t="s">
        <v>537</v>
      </c>
      <c r="E642" s="35">
        <v>33997.0</v>
      </c>
      <c r="F642" s="5">
        <v>6.281287559786E12</v>
      </c>
      <c r="G642" s="1" t="s">
        <v>2660</v>
      </c>
      <c r="H642" s="5" t="s">
        <v>939</v>
      </c>
      <c r="I642" s="5" t="s">
        <v>57</v>
      </c>
      <c r="J642" s="5" t="s">
        <v>952</v>
      </c>
    </row>
    <row r="643">
      <c r="A643" s="1" t="s">
        <v>2661</v>
      </c>
      <c r="B643" s="5" t="s">
        <v>2662</v>
      </c>
      <c r="C643" s="5" t="s">
        <v>53</v>
      </c>
      <c r="D643" s="5" t="s">
        <v>1054</v>
      </c>
      <c r="E643" s="36">
        <v>35056.0</v>
      </c>
      <c r="F643" s="5">
        <v>6.285601937796E12</v>
      </c>
      <c r="G643" s="1" t="s">
        <v>2663</v>
      </c>
      <c r="H643" s="5" t="s">
        <v>481</v>
      </c>
      <c r="I643" s="5" t="s">
        <v>57</v>
      </c>
      <c r="J643" s="5" t="s">
        <v>475</v>
      </c>
      <c r="K643" s="5" t="s">
        <v>672</v>
      </c>
      <c r="L643" s="5" t="s">
        <v>1036</v>
      </c>
    </row>
    <row r="644">
      <c r="A644" s="1" t="s">
        <v>2664</v>
      </c>
      <c r="B644" s="5" t="s">
        <v>2665</v>
      </c>
      <c r="C644" s="5" t="s">
        <v>53</v>
      </c>
      <c r="D644" s="5" t="s">
        <v>633</v>
      </c>
      <c r="E644" s="36">
        <v>35023.0</v>
      </c>
      <c r="F644" s="5">
        <v>6.281263217215E12</v>
      </c>
      <c r="G644" s="1" t="s">
        <v>2666</v>
      </c>
      <c r="H644" s="5" t="s">
        <v>481</v>
      </c>
      <c r="I644" s="5" t="s">
        <v>57</v>
      </c>
      <c r="J644" s="5" t="s">
        <v>707</v>
      </c>
      <c r="K644" s="5" t="s">
        <v>1846</v>
      </c>
      <c r="L644" s="5" t="s">
        <v>1846</v>
      </c>
    </row>
    <row r="645">
      <c r="A645" s="1" t="s">
        <v>2667</v>
      </c>
      <c r="B645" s="5" t="s">
        <v>2668</v>
      </c>
      <c r="C645" s="5" t="s">
        <v>53</v>
      </c>
      <c r="D645" s="5" t="s">
        <v>472</v>
      </c>
      <c r="E645" s="36">
        <v>31713.0</v>
      </c>
      <c r="F645" s="5">
        <v>6.285743656657E12</v>
      </c>
      <c r="G645" s="1" t="s">
        <v>2669</v>
      </c>
      <c r="H645" s="5" t="s">
        <v>1032</v>
      </c>
      <c r="I645" s="5" t="s">
        <v>57</v>
      </c>
      <c r="J645" s="5" t="s">
        <v>475</v>
      </c>
      <c r="K645" s="5" t="s">
        <v>529</v>
      </c>
      <c r="L645" s="5" t="s">
        <v>2670</v>
      </c>
    </row>
    <row r="646">
      <c r="A646" s="1" t="s">
        <v>2671</v>
      </c>
      <c r="B646" s="5" t="s">
        <v>2672</v>
      </c>
      <c r="C646" s="5" t="s">
        <v>76</v>
      </c>
      <c r="D646" s="5" t="s">
        <v>1054</v>
      </c>
      <c r="E646" s="36">
        <v>37274.0</v>
      </c>
      <c r="F646" s="5">
        <v>6.28124878932E11</v>
      </c>
      <c r="G646" s="1" t="s">
        <v>2673</v>
      </c>
      <c r="H646" s="5" t="s">
        <v>293</v>
      </c>
      <c r="I646" s="5" t="s">
        <v>57</v>
      </c>
      <c r="J646" s="5" t="s">
        <v>847</v>
      </c>
      <c r="K646" s="5" t="s">
        <v>2674</v>
      </c>
      <c r="L646" s="5" t="s">
        <v>577</v>
      </c>
    </row>
    <row r="647">
      <c r="A647" s="1" t="s">
        <v>2675</v>
      </c>
      <c r="B647" s="5" t="s">
        <v>2676</v>
      </c>
      <c r="C647" s="5" t="s">
        <v>53</v>
      </c>
      <c r="D647" s="5" t="s">
        <v>1415</v>
      </c>
      <c r="E647" s="36">
        <v>37533.0</v>
      </c>
      <c r="F647" s="5">
        <v>6.2858767845E12</v>
      </c>
      <c r="G647" s="1" t="s">
        <v>2677</v>
      </c>
      <c r="H647" s="5" t="s">
        <v>474</v>
      </c>
      <c r="I647" s="5" t="s">
        <v>57</v>
      </c>
      <c r="J647" s="5" t="s">
        <v>825</v>
      </c>
      <c r="K647" s="5" t="s">
        <v>848</v>
      </c>
      <c r="L647" s="5" t="s">
        <v>848</v>
      </c>
    </row>
    <row r="648">
      <c r="A648" s="1" t="s">
        <v>2678</v>
      </c>
      <c r="B648" s="5" t="s">
        <v>2679</v>
      </c>
      <c r="C648" s="5" t="s">
        <v>53</v>
      </c>
      <c r="D648" s="5" t="s">
        <v>2680</v>
      </c>
      <c r="E648" s="35">
        <v>35621.0</v>
      </c>
      <c r="F648" s="5">
        <v>6.281354948447E12</v>
      </c>
      <c r="G648" s="1" t="s">
        <v>2681</v>
      </c>
      <c r="H648" s="5" t="s">
        <v>308</v>
      </c>
      <c r="I648" s="5" t="s">
        <v>57</v>
      </c>
      <c r="J648" s="5" t="s">
        <v>2682</v>
      </c>
    </row>
    <row r="649">
      <c r="A649" s="1" t="s">
        <v>2683</v>
      </c>
      <c r="B649" s="5" t="s">
        <v>2684</v>
      </c>
      <c r="C649" s="5" t="s">
        <v>53</v>
      </c>
      <c r="D649" s="5" t="s">
        <v>2685</v>
      </c>
      <c r="E649" s="35">
        <v>37017.0</v>
      </c>
      <c r="F649" s="5">
        <v>6.281327579971E12</v>
      </c>
      <c r="G649" s="1" t="s">
        <v>2686</v>
      </c>
      <c r="H649" s="5" t="s">
        <v>293</v>
      </c>
      <c r="I649" s="5" t="s">
        <v>57</v>
      </c>
      <c r="J649" s="5" t="s">
        <v>984</v>
      </c>
    </row>
    <row r="650">
      <c r="A650" s="1" t="s">
        <v>2687</v>
      </c>
      <c r="B650" s="5" t="s">
        <v>2688</v>
      </c>
      <c r="C650" s="5" t="s">
        <v>53</v>
      </c>
      <c r="D650" s="5" t="s">
        <v>2689</v>
      </c>
      <c r="E650" s="35">
        <v>35883.0</v>
      </c>
      <c r="F650" s="5">
        <v>6.281536711229E12</v>
      </c>
      <c r="G650" s="1" t="s">
        <v>2690</v>
      </c>
      <c r="H650" s="5" t="s">
        <v>516</v>
      </c>
      <c r="I650" s="5" t="s">
        <v>57</v>
      </c>
      <c r="J650" s="5" t="s">
        <v>737</v>
      </c>
    </row>
    <row r="651">
      <c r="A651" s="1" t="s">
        <v>2691</v>
      </c>
      <c r="B651" s="5" t="s">
        <v>2692</v>
      </c>
      <c r="C651" s="5" t="s">
        <v>53</v>
      </c>
      <c r="D651" s="5" t="s">
        <v>271</v>
      </c>
      <c r="E651" s="36">
        <v>37423.0</v>
      </c>
      <c r="F651" s="5">
        <v>6.28996199049E11</v>
      </c>
      <c r="G651" s="1" t="s">
        <v>2693</v>
      </c>
      <c r="H651" s="5" t="s">
        <v>474</v>
      </c>
      <c r="I651" s="5" t="s">
        <v>57</v>
      </c>
      <c r="J651" s="5" t="s">
        <v>267</v>
      </c>
      <c r="K651" s="5" t="s">
        <v>500</v>
      </c>
      <c r="L651" s="5" t="s">
        <v>2694</v>
      </c>
    </row>
    <row r="652">
      <c r="A652" s="1" t="s">
        <v>2695</v>
      </c>
      <c r="B652" s="5" t="s">
        <v>2696</v>
      </c>
      <c r="C652" s="5" t="s">
        <v>53</v>
      </c>
      <c r="D652" s="5" t="s">
        <v>560</v>
      </c>
      <c r="E652" s="36">
        <v>36989.0</v>
      </c>
      <c r="F652" s="5">
        <v>6.28977263855E11</v>
      </c>
      <c r="G652" s="1" t="s">
        <v>2697</v>
      </c>
      <c r="H652" s="5" t="s">
        <v>474</v>
      </c>
      <c r="I652" s="5" t="s">
        <v>57</v>
      </c>
      <c r="J652" s="5" t="s">
        <v>511</v>
      </c>
      <c r="K652" s="5" t="s">
        <v>523</v>
      </c>
      <c r="L652" s="5" t="s">
        <v>1210</v>
      </c>
    </row>
    <row r="653">
      <c r="A653" s="1" t="s">
        <v>2698</v>
      </c>
      <c r="B653" s="5" t="s">
        <v>2699</v>
      </c>
      <c r="C653" s="5" t="s">
        <v>76</v>
      </c>
      <c r="D653" s="5" t="s">
        <v>472</v>
      </c>
      <c r="E653" s="36">
        <v>33122.0</v>
      </c>
      <c r="F653" s="5">
        <v>6.285725826493E12</v>
      </c>
      <c r="G653" s="1" t="s">
        <v>2700</v>
      </c>
      <c r="H653" s="5" t="s">
        <v>1032</v>
      </c>
      <c r="I653" s="5" t="s">
        <v>57</v>
      </c>
      <c r="J653" s="5" t="s">
        <v>1425</v>
      </c>
      <c r="K653" s="5" t="s">
        <v>1449</v>
      </c>
      <c r="L653" s="5" t="s">
        <v>2701</v>
      </c>
    </row>
    <row r="654">
      <c r="A654" s="1" t="s">
        <v>2702</v>
      </c>
      <c r="B654" s="5" t="s">
        <v>2703</v>
      </c>
      <c r="C654" s="5" t="s">
        <v>76</v>
      </c>
      <c r="D654" s="5" t="s">
        <v>472</v>
      </c>
      <c r="E654" s="36">
        <v>37452.0</v>
      </c>
      <c r="F654" s="5">
        <v>6.281864139E10</v>
      </c>
      <c r="G654" s="1" t="s">
        <v>2704</v>
      </c>
      <c r="H654" s="5" t="s">
        <v>474</v>
      </c>
      <c r="I654" s="5" t="s">
        <v>57</v>
      </c>
      <c r="J654" s="5" t="s">
        <v>1425</v>
      </c>
      <c r="K654" s="5" t="s">
        <v>1449</v>
      </c>
      <c r="L654" s="5" t="s">
        <v>2705</v>
      </c>
    </row>
    <row r="655">
      <c r="A655" s="1" t="s">
        <v>2706</v>
      </c>
      <c r="B655" s="5" t="s">
        <v>2707</v>
      </c>
      <c r="C655" s="5" t="s">
        <v>76</v>
      </c>
      <c r="D655" s="5" t="s">
        <v>271</v>
      </c>
      <c r="E655" s="36">
        <v>37016.0</v>
      </c>
      <c r="F655" s="5">
        <v>6.282137950715E12</v>
      </c>
      <c r="G655" s="1" t="s">
        <v>2708</v>
      </c>
      <c r="H655" s="5" t="s">
        <v>293</v>
      </c>
      <c r="I655" s="5" t="s">
        <v>57</v>
      </c>
      <c r="J655" s="5" t="s">
        <v>792</v>
      </c>
      <c r="K655" s="5" t="s">
        <v>500</v>
      </c>
      <c r="L655" s="5" t="s">
        <v>1747</v>
      </c>
    </row>
    <row r="656">
      <c r="A656" s="1" t="s">
        <v>2709</v>
      </c>
      <c r="B656" s="5" t="s">
        <v>2710</v>
      </c>
      <c r="C656" s="5" t="s">
        <v>53</v>
      </c>
      <c r="D656" s="5" t="s">
        <v>537</v>
      </c>
      <c r="E656" s="36">
        <v>35267.0</v>
      </c>
      <c r="F656" s="5">
        <v>6.2812209109E12</v>
      </c>
      <c r="G656" s="1" t="s">
        <v>2711</v>
      </c>
      <c r="H656" s="5" t="s">
        <v>481</v>
      </c>
      <c r="I656" s="5" t="s">
        <v>57</v>
      </c>
      <c r="J656" s="5" t="s">
        <v>707</v>
      </c>
      <c r="K656" s="5" t="s">
        <v>529</v>
      </c>
      <c r="L656" s="5" t="s">
        <v>1846</v>
      </c>
    </row>
    <row r="657">
      <c r="A657" s="1" t="s">
        <v>2712</v>
      </c>
      <c r="B657" s="5" t="s">
        <v>2713</v>
      </c>
      <c r="C657" s="5" t="s">
        <v>53</v>
      </c>
      <c r="D657" s="5" t="s">
        <v>271</v>
      </c>
      <c r="E657" s="36">
        <v>35992.0</v>
      </c>
      <c r="F657" s="5">
        <v>6.281646933361E12</v>
      </c>
      <c r="G657" s="1" t="s">
        <v>2714</v>
      </c>
      <c r="H657" s="5" t="s">
        <v>236</v>
      </c>
      <c r="I657" s="5" t="s">
        <v>57</v>
      </c>
      <c r="J657" s="5" t="s">
        <v>792</v>
      </c>
      <c r="K657" s="5" t="s">
        <v>500</v>
      </c>
      <c r="L657" s="5" t="s">
        <v>1747</v>
      </c>
    </row>
    <row r="658">
      <c r="A658" s="1" t="s">
        <v>2715</v>
      </c>
      <c r="B658" s="5" t="s">
        <v>2716</v>
      </c>
      <c r="C658" s="5" t="s">
        <v>76</v>
      </c>
      <c r="D658" s="5" t="s">
        <v>533</v>
      </c>
      <c r="E658" s="36">
        <v>37835.0</v>
      </c>
      <c r="F658" s="5">
        <v>6.2895341708966E13</v>
      </c>
      <c r="G658" s="1" t="s">
        <v>2717</v>
      </c>
      <c r="H658" s="5" t="s">
        <v>544</v>
      </c>
      <c r="I658" s="5" t="s">
        <v>57</v>
      </c>
      <c r="J658" s="5" t="s">
        <v>58</v>
      </c>
      <c r="K658" s="5" t="s">
        <v>539</v>
      </c>
      <c r="L658" s="5" t="s">
        <v>799</v>
      </c>
    </row>
    <row r="659">
      <c r="A659" s="1" t="s">
        <v>2718</v>
      </c>
      <c r="B659" s="5" t="s">
        <v>2719</v>
      </c>
      <c r="C659" s="5" t="s">
        <v>53</v>
      </c>
      <c r="D659" s="5" t="s">
        <v>2720</v>
      </c>
      <c r="E659" s="36">
        <v>37880.0</v>
      </c>
      <c r="F659" s="5">
        <v>6.281337015474E12</v>
      </c>
      <c r="G659" s="1" t="s">
        <v>2721</v>
      </c>
      <c r="H659" s="5" t="s">
        <v>544</v>
      </c>
      <c r="I659" s="5" t="s">
        <v>57</v>
      </c>
      <c r="J659" s="5" t="s">
        <v>682</v>
      </c>
      <c r="K659" s="5" t="s">
        <v>529</v>
      </c>
      <c r="L659" s="5" t="s">
        <v>2361</v>
      </c>
    </row>
    <row r="660">
      <c r="A660" s="1" t="s">
        <v>2722</v>
      </c>
      <c r="B660" s="5" t="s">
        <v>2723</v>
      </c>
      <c r="C660" s="5" t="s">
        <v>53</v>
      </c>
      <c r="D660" s="5" t="s">
        <v>472</v>
      </c>
      <c r="E660" s="36">
        <v>30285.0</v>
      </c>
      <c r="F660" s="5">
        <v>6.282328554138E12</v>
      </c>
      <c r="G660" s="1" t="s">
        <v>2724</v>
      </c>
      <c r="H660" s="5" t="s">
        <v>1209</v>
      </c>
      <c r="I660" s="5" t="s">
        <v>57</v>
      </c>
      <c r="J660" s="5" t="s">
        <v>475</v>
      </c>
      <c r="K660" s="5" t="s">
        <v>848</v>
      </c>
      <c r="L660" s="5" t="s">
        <v>849</v>
      </c>
    </row>
    <row r="661">
      <c r="A661" s="1" t="s">
        <v>2725</v>
      </c>
      <c r="B661" s="5" t="s">
        <v>2726</v>
      </c>
      <c r="C661" s="5" t="s">
        <v>53</v>
      </c>
      <c r="D661" s="5" t="s">
        <v>1382</v>
      </c>
      <c r="E661" s="35">
        <v>36679.0</v>
      </c>
      <c r="F661" s="5">
        <v>6.285156286167E12</v>
      </c>
      <c r="G661" s="1" t="s">
        <v>2727</v>
      </c>
      <c r="H661" s="5" t="s">
        <v>236</v>
      </c>
      <c r="I661" s="5" t="s">
        <v>57</v>
      </c>
      <c r="J661" s="5" t="s">
        <v>696</v>
      </c>
    </row>
    <row r="662">
      <c r="A662" s="1" t="s">
        <v>2728</v>
      </c>
      <c r="B662" s="5" t="s">
        <v>2729</v>
      </c>
      <c r="C662" s="5" t="s">
        <v>76</v>
      </c>
      <c r="D662" s="5" t="s">
        <v>537</v>
      </c>
      <c r="E662" s="36">
        <v>30229.0</v>
      </c>
      <c r="F662" s="5">
        <v>6.285229324676E12</v>
      </c>
      <c r="G662" s="1" t="s">
        <v>2730</v>
      </c>
      <c r="H662" s="5" t="s">
        <v>2178</v>
      </c>
      <c r="I662" s="5" t="s">
        <v>57</v>
      </c>
      <c r="J662" s="5" t="s">
        <v>475</v>
      </c>
      <c r="K662" s="5" t="s">
        <v>672</v>
      </c>
      <c r="L662" s="5" t="s">
        <v>1036</v>
      </c>
    </row>
    <row r="663">
      <c r="A663" s="1" t="s">
        <v>2731</v>
      </c>
      <c r="B663" s="5" t="s">
        <v>2732</v>
      </c>
      <c r="C663" s="5" t="s">
        <v>53</v>
      </c>
      <c r="D663" s="5" t="s">
        <v>1054</v>
      </c>
      <c r="E663" s="36">
        <v>36511.0</v>
      </c>
      <c r="F663" s="5">
        <v>6.288226387052E12</v>
      </c>
      <c r="G663" s="1" t="s">
        <v>2733</v>
      </c>
      <c r="H663" s="5" t="s">
        <v>516</v>
      </c>
      <c r="I663" s="5" t="s">
        <v>57</v>
      </c>
      <c r="J663" s="5" t="s">
        <v>1425</v>
      </c>
      <c r="K663" s="5" t="s">
        <v>1426</v>
      </c>
      <c r="L663" s="5" t="s">
        <v>2734</v>
      </c>
    </row>
    <row r="664">
      <c r="A664" s="1" t="s">
        <v>2735</v>
      </c>
      <c r="B664" s="5" t="s">
        <v>2736</v>
      </c>
      <c r="C664" s="5" t="s">
        <v>53</v>
      </c>
      <c r="D664" s="5" t="s">
        <v>869</v>
      </c>
      <c r="E664" s="36">
        <v>36666.0</v>
      </c>
      <c r="F664" s="5">
        <v>6.28987690089E11</v>
      </c>
      <c r="G664" s="1" t="s">
        <v>2737</v>
      </c>
      <c r="H664" s="5" t="s">
        <v>236</v>
      </c>
      <c r="I664" s="5" t="s">
        <v>57</v>
      </c>
      <c r="J664" s="5" t="s">
        <v>682</v>
      </c>
      <c r="K664" s="5" t="s">
        <v>848</v>
      </c>
      <c r="L664" s="5" t="s">
        <v>849</v>
      </c>
    </row>
    <row r="665">
      <c r="A665" s="1" t="s">
        <v>2738</v>
      </c>
      <c r="B665" s="5" t="s">
        <v>2739</v>
      </c>
      <c r="C665" s="5" t="s">
        <v>76</v>
      </c>
      <c r="D665" s="5" t="s">
        <v>537</v>
      </c>
      <c r="E665" s="35">
        <v>36380.0</v>
      </c>
      <c r="F665" s="5">
        <v>6.281389362025E12</v>
      </c>
      <c r="G665" s="1" t="s">
        <v>2740</v>
      </c>
      <c r="H665" s="5" t="s">
        <v>516</v>
      </c>
      <c r="I665" s="5" t="s">
        <v>57</v>
      </c>
      <c r="J665" s="5" t="s">
        <v>858</v>
      </c>
    </row>
    <row r="666">
      <c r="A666" s="1" t="s">
        <v>2741</v>
      </c>
      <c r="B666" s="5" t="s">
        <v>2742</v>
      </c>
      <c r="C666" s="5" t="s">
        <v>76</v>
      </c>
      <c r="D666" s="5" t="s">
        <v>1960</v>
      </c>
      <c r="E666" s="36">
        <v>37493.0</v>
      </c>
      <c r="F666" s="5">
        <v>6.281256679146E12</v>
      </c>
      <c r="G666" s="1" t="s">
        <v>2743</v>
      </c>
      <c r="H666" s="5" t="s">
        <v>544</v>
      </c>
      <c r="I666" s="5" t="s">
        <v>57</v>
      </c>
      <c r="J666" s="5" t="s">
        <v>58</v>
      </c>
      <c r="K666" s="5" t="s">
        <v>500</v>
      </c>
      <c r="L666" s="5" t="s">
        <v>2744</v>
      </c>
    </row>
    <row r="667">
      <c r="A667" s="1" t="s">
        <v>2745</v>
      </c>
      <c r="B667" s="5" t="s">
        <v>2746</v>
      </c>
      <c r="C667" s="5" t="s">
        <v>76</v>
      </c>
      <c r="D667" s="5" t="s">
        <v>271</v>
      </c>
      <c r="E667" s="36">
        <v>33850.0</v>
      </c>
      <c r="F667" s="5">
        <v>6.281212438549E12</v>
      </c>
      <c r="G667" s="1" t="s">
        <v>2747</v>
      </c>
      <c r="H667" s="5" t="s">
        <v>575</v>
      </c>
      <c r="I667" s="5" t="s">
        <v>57</v>
      </c>
      <c r="J667" s="5" t="s">
        <v>1434</v>
      </c>
      <c r="K667" s="5" t="s">
        <v>539</v>
      </c>
      <c r="L667" s="5" t="s">
        <v>2748</v>
      </c>
    </row>
    <row r="668">
      <c r="A668" s="1" t="s">
        <v>2749</v>
      </c>
      <c r="B668" s="5" t="s">
        <v>2750</v>
      </c>
      <c r="C668" s="5" t="s">
        <v>53</v>
      </c>
      <c r="D668" s="5" t="s">
        <v>796</v>
      </c>
      <c r="E668" s="36">
        <v>36230.0</v>
      </c>
      <c r="F668" s="5">
        <v>6.283122580748E12</v>
      </c>
      <c r="G668" s="1" t="s">
        <v>2751</v>
      </c>
      <c r="H668" s="5" t="s">
        <v>516</v>
      </c>
      <c r="I668" s="5" t="s">
        <v>57</v>
      </c>
      <c r="J668" s="5" t="s">
        <v>2516</v>
      </c>
      <c r="K668" s="5" t="s">
        <v>2752</v>
      </c>
      <c r="L668" s="5" t="s">
        <v>849</v>
      </c>
    </row>
    <row r="669">
      <c r="A669" s="1" t="s">
        <v>2753</v>
      </c>
      <c r="B669" s="5" t="s">
        <v>2754</v>
      </c>
      <c r="C669" s="5" t="s">
        <v>76</v>
      </c>
      <c r="D669" s="5" t="s">
        <v>869</v>
      </c>
      <c r="E669" s="36">
        <v>37218.0</v>
      </c>
      <c r="F669" s="5">
        <v>6.289533015145E13</v>
      </c>
      <c r="G669" s="1" t="s">
        <v>2755</v>
      </c>
      <c r="H669" s="5" t="s">
        <v>474</v>
      </c>
      <c r="I669" s="5" t="s">
        <v>57</v>
      </c>
      <c r="J669" s="5" t="s">
        <v>682</v>
      </c>
      <c r="K669" s="5" t="s">
        <v>672</v>
      </c>
      <c r="L669" s="5" t="s">
        <v>2756</v>
      </c>
    </row>
    <row r="670">
      <c r="A670" s="1" t="s">
        <v>2757</v>
      </c>
      <c r="B670" s="5" t="s">
        <v>2758</v>
      </c>
      <c r="C670" s="5" t="s">
        <v>76</v>
      </c>
      <c r="D670" s="5" t="s">
        <v>2759</v>
      </c>
      <c r="E670" s="36">
        <v>37995.0</v>
      </c>
      <c r="F670" s="5">
        <v>6.289519008558E12</v>
      </c>
      <c r="G670" s="1" t="s">
        <v>2760</v>
      </c>
      <c r="H670" s="5" t="s">
        <v>544</v>
      </c>
      <c r="I670" s="5" t="s">
        <v>57</v>
      </c>
      <c r="J670" s="5" t="s">
        <v>58</v>
      </c>
      <c r="K670" s="5" t="s">
        <v>539</v>
      </c>
      <c r="L670" s="5" t="s">
        <v>799</v>
      </c>
    </row>
    <row r="671">
      <c r="A671" s="1" t="s">
        <v>2761</v>
      </c>
      <c r="E671" s="36"/>
      <c r="G671" s="1"/>
    </row>
    <row r="672">
      <c r="A672" s="1" t="s">
        <v>2762</v>
      </c>
      <c r="B672" s="5" t="s">
        <v>2763</v>
      </c>
      <c r="C672" s="5" t="s">
        <v>53</v>
      </c>
      <c r="D672" s="5" t="s">
        <v>472</v>
      </c>
      <c r="E672" s="36">
        <v>36916.0</v>
      </c>
      <c r="F672" s="5">
        <v>6.285792065807E12</v>
      </c>
      <c r="G672" s="1" t="s">
        <v>2764</v>
      </c>
      <c r="H672" s="5" t="s">
        <v>293</v>
      </c>
      <c r="I672" s="5" t="s">
        <v>57</v>
      </c>
      <c r="J672" s="5" t="s">
        <v>475</v>
      </c>
      <c r="K672" s="5" t="s">
        <v>529</v>
      </c>
      <c r="L672" s="5" t="s">
        <v>592</v>
      </c>
    </row>
    <row r="673">
      <c r="A673" s="1" t="s">
        <v>2765</v>
      </c>
      <c r="B673" s="5" t="s">
        <v>2766</v>
      </c>
      <c r="C673" s="5" t="s">
        <v>53</v>
      </c>
      <c r="D673" s="5" t="s">
        <v>770</v>
      </c>
      <c r="E673" s="36">
        <v>33695.0</v>
      </c>
      <c r="F673" s="5">
        <v>6.28970832042E11</v>
      </c>
      <c r="G673" s="1" t="s">
        <v>2767</v>
      </c>
      <c r="H673" s="5" t="s">
        <v>575</v>
      </c>
      <c r="I673" s="5" t="s">
        <v>57</v>
      </c>
      <c r="J673" s="5" t="s">
        <v>787</v>
      </c>
      <c r="K673" s="5" t="s">
        <v>910</v>
      </c>
      <c r="L673" s="5" t="s">
        <v>697</v>
      </c>
    </row>
    <row r="674">
      <c r="A674" s="1" t="s">
        <v>2768</v>
      </c>
      <c r="B674" s="5" t="s">
        <v>2769</v>
      </c>
      <c r="C674" s="5" t="s">
        <v>76</v>
      </c>
      <c r="D674" s="5" t="s">
        <v>2770</v>
      </c>
      <c r="E674" s="36">
        <v>37753.0</v>
      </c>
      <c r="F674" s="5">
        <v>6.283839399477E12</v>
      </c>
      <c r="G674" s="1" t="s">
        <v>2771</v>
      </c>
      <c r="H674" s="5" t="s">
        <v>544</v>
      </c>
      <c r="I674" s="5" t="s">
        <v>57</v>
      </c>
      <c r="J674" s="5" t="s">
        <v>825</v>
      </c>
      <c r="K674" s="5" t="s">
        <v>848</v>
      </c>
      <c r="L674" s="5" t="s">
        <v>848</v>
      </c>
    </row>
    <row r="675">
      <c r="A675" s="1" t="s">
        <v>2772</v>
      </c>
      <c r="B675" s="5" t="s">
        <v>2773</v>
      </c>
      <c r="C675" s="5" t="s">
        <v>76</v>
      </c>
      <c r="D675" s="5" t="s">
        <v>770</v>
      </c>
      <c r="E675" s="35">
        <v>37424.0</v>
      </c>
      <c r="F675" s="5">
        <v>6.285647793202E12</v>
      </c>
      <c r="G675" s="1" t="s">
        <v>2774</v>
      </c>
      <c r="H675" s="5" t="s">
        <v>474</v>
      </c>
      <c r="I675" s="5" t="s">
        <v>57</v>
      </c>
      <c r="J675" s="5" t="s">
        <v>2775</v>
      </c>
    </row>
    <row r="676">
      <c r="A676" s="1" t="s">
        <v>2776</v>
      </c>
      <c r="B676" s="5" t="s">
        <v>2777</v>
      </c>
      <c r="C676" s="5" t="s">
        <v>76</v>
      </c>
      <c r="D676" s="5" t="s">
        <v>2778</v>
      </c>
      <c r="E676" s="36">
        <v>37193.0</v>
      </c>
      <c r="F676" s="5">
        <v>6.2895802547582E13</v>
      </c>
      <c r="G676" s="1" t="s">
        <v>2779</v>
      </c>
      <c r="H676" s="5" t="s">
        <v>293</v>
      </c>
      <c r="I676" s="5" t="s">
        <v>57</v>
      </c>
      <c r="J676" s="5" t="s">
        <v>2780</v>
      </c>
      <c r="K676" s="5" t="s">
        <v>500</v>
      </c>
      <c r="L676" s="5" t="s">
        <v>1846</v>
      </c>
    </row>
    <row r="677">
      <c r="A677" s="1" t="s">
        <v>2781</v>
      </c>
      <c r="B677" s="5" t="s">
        <v>2782</v>
      </c>
      <c r="C677" s="5" t="s">
        <v>53</v>
      </c>
      <c r="D677" s="5" t="s">
        <v>1762</v>
      </c>
      <c r="E677" s="36">
        <v>33827.0</v>
      </c>
      <c r="F677" s="5">
        <v>6.28114349966E11</v>
      </c>
      <c r="G677" s="1" t="s">
        <v>2783</v>
      </c>
      <c r="H677" s="5" t="s">
        <v>575</v>
      </c>
      <c r="I677" s="5" t="s">
        <v>57</v>
      </c>
      <c r="J677" s="5" t="s">
        <v>702</v>
      </c>
      <c r="K677" s="5" t="s">
        <v>539</v>
      </c>
      <c r="L677" s="5" t="s">
        <v>799</v>
      </c>
    </row>
    <row r="678">
      <c r="A678" s="1" t="s">
        <v>2784</v>
      </c>
      <c r="B678" s="5" t="s">
        <v>2785</v>
      </c>
      <c r="C678" s="5" t="s">
        <v>76</v>
      </c>
      <c r="D678" s="5" t="s">
        <v>2786</v>
      </c>
      <c r="E678" s="36">
        <v>37201.0</v>
      </c>
      <c r="F678" s="5">
        <v>6.282284446621E12</v>
      </c>
      <c r="G678" s="1" t="s">
        <v>2787</v>
      </c>
      <c r="H678" s="5" t="s">
        <v>474</v>
      </c>
      <c r="I678" s="5" t="s">
        <v>57</v>
      </c>
      <c r="J678" s="5" t="s">
        <v>267</v>
      </c>
      <c r="K678" s="5" t="s">
        <v>672</v>
      </c>
      <c r="L678" s="5" t="s">
        <v>2788</v>
      </c>
    </row>
    <row r="679">
      <c r="A679" s="1" t="s">
        <v>2789</v>
      </c>
      <c r="B679" s="5" t="s">
        <v>2790</v>
      </c>
      <c r="C679" s="5" t="s">
        <v>76</v>
      </c>
      <c r="D679" s="5" t="s">
        <v>2791</v>
      </c>
      <c r="E679" s="36">
        <v>37543.0</v>
      </c>
      <c r="F679" s="5">
        <v>6.285822172844E12</v>
      </c>
      <c r="G679" s="1" t="s">
        <v>2792</v>
      </c>
      <c r="H679" s="5" t="s">
        <v>474</v>
      </c>
      <c r="I679" s="5" t="s">
        <v>57</v>
      </c>
      <c r="J679" s="5" t="s">
        <v>58</v>
      </c>
      <c r="K679" s="5" t="s">
        <v>529</v>
      </c>
      <c r="L679" s="5" t="s">
        <v>1359</v>
      </c>
    </row>
    <row r="680">
      <c r="A680" s="1" t="s">
        <v>2793</v>
      </c>
      <c r="B680" s="5" t="s">
        <v>2794</v>
      </c>
      <c r="C680" s="5" t="s">
        <v>53</v>
      </c>
      <c r="D680" s="5" t="s">
        <v>2795</v>
      </c>
      <c r="E680" s="36">
        <v>37239.0</v>
      </c>
      <c r="F680" s="5">
        <v>6.281383839791E12</v>
      </c>
      <c r="G680" s="1" t="s">
        <v>2796</v>
      </c>
      <c r="H680" s="5" t="s">
        <v>474</v>
      </c>
      <c r="I680" s="5" t="s">
        <v>57</v>
      </c>
      <c r="J680" s="5" t="s">
        <v>783</v>
      </c>
      <c r="K680" s="5" t="s">
        <v>2797</v>
      </c>
      <c r="L680" s="5" t="s">
        <v>577</v>
      </c>
    </row>
    <row r="681">
      <c r="A681" s="1" t="s">
        <v>2798</v>
      </c>
      <c r="B681" s="5" t="s">
        <v>2799</v>
      </c>
      <c r="C681" s="5" t="s">
        <v>53</v>
      </c>
      <c r="D681" s="5" t="s">
        <v>373</v>
      </c>
      <c r="E681" s="36">
        <v>34337.0</v>
      </c>
      <c r="F681" s="5">
        <v>6.285261780087E12</v>
      </c>
      <c r="G681" s="1" t="s">
        <v>2800</v>
      </c>
      <c r="H681" s="5" t="s">
        <v>939</v>
      </c>
      <c r="I681" s="5" t="s">
        <v>57</v>
      </c>
      <c r="J681" s="5" t="s">
        <v>1048</v>
      </c>
      <c r="K681" s="5" t="s">
        <v>2128</v>
      </c>
      <c r="L681" s="5" t="s">
        <v>591</v>
      </c>
    </row>
    <row r="682">
      <c r="A682" s="1" t="s">
        <v>2801</v>
      </c>
      <c r="B682" s="5" t="s">
        <v>2802</v>
      </c>
      <c r="C682" s="5" t="s">
        <v>53</v>
      </c>
      <c r="D682" s="5" t="s">
        <v>533</v>
      </c>
      <c r="E682" s="35">
        <v>36615.0</v>
      </c>
      <c r="F682" s="5">
        <v>6.2816224949E10</v>
      </c>
      <c r="G682" s="1" t="s">
        <v>2803</v>
      </c>
      <c r="H682" s="5" t="s">
        <v>236</v>
      </c>
      <c r="I682" s="5" t="s">
        <v>57</v>
      </c>
      <c r="J682" s="5" t="s">
        <v>58</v>
      </c>
    </row>
    <row r="683">
      <c r="A683" s="1" t="s">
        <v>2804</v>
      </c>
      <c r="B683" s="5" t="s">
        <v>2805</v>
      </c>
      <c r="C683" s="5" t="s">
        <v>53</v>
      </c>
      <c r="D683" s="5" t="s">
        <v>2806</v>
      </c>
      <c r="E683" s="35">
        <v>36403.0</v>
      </c>
      <c r="F683" s="5">
        <v>6.289628546549E12</v>
      </c>
      <c r="G683" s="1" t="s">
        <v>2807</v>
      </c>
      <c r="H683" s="5" t="s">
        <v>236</v>
      </c>
      <c r="I683" s="5" t="s">
        <v>57</v>
      </c>
      <c r="J683" s="5" t="s">
        <v>58</v>
      </c>
    </row>
    <row r="684">
      <c r="A684" s="1" t="s">
        <v>2808</v>
      </c>
      <c r="B684" s="5" t="s">
        <v>2809</v>
      </c>
      <c r="C684" s="5" t="s">
        <v>76</v>
      </c>
      <c r="D684" s="5" t="s">
        <v>2810</v>
      </c>
      <c r="E684" s="36">
        <v>33937.0</v>
      </c>
      <c r="F684" s="5">
        <v>6.28225600282E12</v>
      </c>
      <c r="G684" s="1" t="s">
        <v>2811</v>
      </c>
      <c r="H684" s="5" t="s">
        <v>575</v>
      </c>
      <c r="I684" s="5" t="s">
        <v>57</v>
      </c>
      <c r="J684" s="5" t="s">
        <v>2780</v>
      </c>
      <c r="K684" s="5" t="s">
        <v>539</v>
      </c>
      <c r="L684" s="5" t="s">
        <v>799</v>
      </c>
    </row>
    <row r="685">
      <c r="A685" s="1" t="s">
        <v>2812</v>
      </c>
      <c r="B685" s="5" t="s">
        <v>2813</v>
      </c>
      <c r="C685" s="5" t="s">
        <v>76</v>
      </c>
      <c r="D685" s="5" t="s">
        <v>460</v>
      </c>
      <c r="E685" s="36">
        <v>37821.0</v>
      </c>
      <c r="F685" s="5">
        <v>6.289656538589E12</v>
      </c>
      <c r="G685" s="1" t="s">
        <v>2814</v>
      </c>
      <c r="H685" s="5" t="s">
        <v>544</v>
      </c>
      <c r="I685" s="5" t="s">
        <v>57</v>
      </c>
      <c r="J685" s="5" t="s">
        <v>58</v>
      </c>
      <c r="K685" s="5" t="s">
        <v>500</v>
      </c>
      <c r="L685" s="5" t="s">
        <v>793</v>
      </c>
    </row>
    <row r="686">
      <c r="A686" s="1" t="s">
        <v>2815</v>
      </c>
      <c r="B686" s="5" t="s">
        <v>2816</v>
      </c>
      <c r="C686" s="5" t="s">
        <v>53</v>
      </c>
      <c r="D686" s="5" t="s">
        <v>2817</v>
      </c>
      <c r="E686" s="36" t="s">
        <v>2818</v>
      </c>
      <c r="F686" s="5">
        <v>6.285340178499E12</v>
      </c>
      <c r="G686" s="1" t="s">
        <v>2819</v>
      </c>
      <c r="H686" s="5" t="s">
        <v>1032</v>
      </c>
      <c r="I686" s="5" t="s">
        <v>57</v>
      </c>
      <c r="J686" s="5" t="s">
        <v>2780</v>
      </c>
      <c r="K686" s="5" t="s">
        <v>523</v>
      </c>
      <c r="L686" s="5" t="s">
        <v>2820</v>
      </c>
    </row>
    <row r="687">
      <c r="A687" s="1" t="s">
        <v>2821</v>
      </c>
      <c r="B687" s="5" t="s">
        <v>2822</v>
      </c>
      <c r="C687" s="5" t="s">
        <v>76</v>
      </c>
      <c r="D687" s="5" t="s">
        <v>271</v>
      </c>
      <c r="E687" s="36">
        <v>37373.0</v>
      </c>
      <c r="F687" s="5">
        <v>6.285738314143E12</v>
      </c>
      <c r="G687" s="1" t="s">
        <v>2823</v>
      </c>
      <c r="H687" s="5" t="s">
        <v>544</v>
      </c>
      <c r="I687" s="5" t="s">
        <v>57</v>
      </c>
      <c r="J687" s="5" t="s">
        <v>2775</v>
      </c>
      <c r="K687" s="5" t="s">
        <v>539</v>
      </c>
      <c r="L687" s="5" t="s">
        <v>799</v>
      </c>
    </row>
    <row r="688">
      <c r="A688" s="1" t="s">
        <v>2824</v>
      </c>
      <c r="B688" s="5" t="s">
        <v>2825</v>
      </c>
      <c r="C688" s="5" t="s">
        <v>76</v>
      </c>
      <c r="D688" s="5" t="s">
        <v>2826</v>
      </c>
      <c r="E688" s="36">
        <v>34554.0</v>
      </c>
      <c r="F688" s="5">
        <v>6.282396106876E12</v>
      </c>
      <c r="G688" s="1" t="s">
        <v>2827</v>
      </c>
      <c r="H688" s="5" t="s">
        <v>661</v>
      </c>
      <c r="I688" s="5" t="s">
        <v>57</v>
      </c>
      <c r="J688" s="5" t="s">
        <v>2780</v>
      </c>
      <c r="K688" s="5" t="s">
        <v>2828</v>
      </c>
      <c r="L688" s="5" t="s">
        <v>1747</v>
      </c>
    </row>
    <row r="689">
      <c r="A689" s="1" t="s">
        <v>2829</v>
      </c>
      <c r="B689" s="5" t="s">
        <v>2830</v>
      </c>
      <c r="C689" s="5" t="s">
        <v>53</v>
      </c>
      <c r="D689" s="5" t="s">
        <v>2831</v>
      </c>
      <c r="E689" s="36">
        <v>33244.0</v>
      </c>
      <c r="F689" s="5">
        <v>6.285299976321E12</v>
      </c>
      <c r="G689" s="1" t="s">
        <v>2832</v>
      </c>
      <c r="H689" s="5" t="s">
        <v>575</v>
      </c>
      <c r="I689" s="5" t="s">
        <v>57</v>
      </c>
      <c r="J689" s="5" t="s">
        <v>506</v>
      </c>
      <c r="K689" s="5" t="s">
        <v>848</v>
      </c>
      <c r="L689" s="5" t="s">
        <v>1530</v>
      </c>
    </row>
    <row r="690">
      <c r="A690" s="1" t="s">
        <v>2833</v>
      </c>
      <c r="B690" s="5" t="s">
        <v>2834</v>
      </c>
      <c r="C690" s="5" t="s">
        <v>53</v>
      </c>
      <c r="D690" s="5" t="s">
        <v>2835</v>
      </c>
      <c r="E690" s="36">
        <v>37540.0</v>
      </c>
      <c r="F690" s="5">
        <v>6.282328842002E12</v>
      </c>
      <c r="G690" s="1" t="s">
        <v>2836</v>
      </c>
      <c r="H690" s="5" t="s">
        <v>293</v>
      </c>
      <c r="I690" s="5" t="s">
        <v>57</v>
      </c>
      <c r="J690" s="5" t="s">
        <v>702</v>
      </c>
      <c r="K690" s="5" t="s">
        <v>848</v>
      </c>
      <c r="L690" s="5" t="s">
        <v>849</v>
      </c>
    </row>
    <row r="691">
      <c r="A691" s="1" t="s">
        <v>2837</v>
      </c>
      <c r="B691" s="5" t="s">
        <v>2838</v>
      </c>
      <c r="C691" s="5" t="s">
        <v>53</v>
      </c>
      <c r="D691" s="5" t="s">
        <v>908</v>
      </c>
      <c r="E691" s="36">
        <v>35414.0</v>
      </c>
      <c r="F691" s="5">
        <v>6.28117199685E11</v>
      </c>
      <c r="G691" s="1" t="s">
        <v>2839</v>
      </c>
      <c r="H691" s="5" t="s">
        <v>481</v>
      </c>
      <c r="I691" s="5" t="s">
        <v>57</v>
      </c>
      <c r="J691" s="5" t="s">
        <v>854</v>
      </c>
      <c r="K691" s="5" t="s">
        <v>529</v>
      </c>
      <c r="L691" s="5" t="s">
        <v>677</v>
      </c>
    </row>
    <row r="692">
      <c r="A692" s="1" t="s">
        <v>2840</v>
      </c>
      <c r="B692" s="5" t="s">
        <v>2841</v>
      </c>
      <c r="C692" s="5" t="s">
        <v>53</v>
      </c>
      <c r="D692" s="5" t="s">
        <v>741</v>
      </c>
      <c r="E692" s="36">
        <v>37773.0</v>
      </c>
      <c r="F692" s="5">
        <v>6.28128045052E12</v>
      </c>
      <c r="G692" s="1" t="s">
        <v>2842</v>
      </c>
      <c r="H692" s="5" t="s">
        <v>544</v>
      </c>
      <c r="I692" s="5" t="s">
        <v>57</v>
      </c>
      <c r="J692" s="5" t="s">
        <v>813</v>
      </c>
      <c r="K692" s="5" t="s">
        <v>539</v>
      </c>
      <c r="L692" s="5" t="s">
        <v>799</v>
      </c>
    </row>
    <row r="693">
      <c r="A693" s="1" t="s">
        <v>2843</v>
      </c>
      <c r="B693" s="5" t="s">
        <v>2844</v>
      </c>
      <c r="C693" s="5" t="s">
        <v>53</v>
      </c>
      <c r="D693" s="5" t="s">
        <v>2845</v>
      </c>
      <c r="E693" s="36">
        <v>37001.0</v>
      </c>
      <c r="F693" s="5">
        <v>6.2895800017317E13</v>
      </c>
      <c r="G693" s="1" t="s">
        <v>2846</v>
      </c>
      <c r="H693" s="5" t="s">
        <v>544</v>
      </c>
      <c r="I693" s="5" t="s">
        <v>57</v>
      </c>
      <c r="J693" s="5" t="s">
        <v>385</v>
      </c>
      <c r="K693" s="5" t="s">
        <v>848</v>
      </c>
      <c r="L693" s="5" t="s">
        <v>849</v>
      </c>
    </row>
    <row r="694">
      <c r="A694" s="1" t="s">
        <v>2847</v>
      </c>
      <c r="B694" s="5" t="s">
        <v>2848</v>
      </c>
      <c r="C694" s="5" t="s">
        <v>53</v>
      </c>
      <c r="D694" s="5" t="s">
        <v>298</v>
      </c>
      <c r="E694" s="36">
        <v>28668.0</v>
      </c>
      <c r="F694" s="5">
        <v>6.28988938371E11</v>
      </c>
      <c r="G694" s="1" t="s">
        <v>2849</v>
      </c>
      <c r="H694" s="5" t="s">
        <v>2178</v>
      </c>
      <c r="I694" s="5" t="s">
        <v>57</v>
      </c>
      <c r="J694" s="5" t="s">
        <v>1425</v>
      </c>
      <c r="K694" s="5" t="s">
        <v>848</v>
      </c>
      <c r="L694" s="5" t="s">
        <v>848</v>
      </c>
    </row>
    <row r="695">
      <c r="A695" s="1" t="s">
        <v>2850</v>
      </c>
      <c r="B695" s="5" t="s">
        <v>2851</v>
      </c>
      <c r="C695" s="5" t="s">
        <v>76</v>
      </c>
      <c r="D695" s="5" t="s">
        <v>770</v>
      </c>
      <c r="E695" s="36">
        <v>37238.0</v>
      </c>
      <c r="F695" s="5">
        <v>6.287750412684E12</v>
      </c>
      <c r="G695" s="1" t="s">
        <v>2852</v>
      </c>
      <c r="H695" s="5" t="s">
        <v>474</v>
      </c>
      <c r="I695" s="5" t="s">
        <v>57</v>
      </c>
      <c r="J695" s="5" t="s">
        <v>787</v>
      </c>
      <c r="K695" s="5" t="s">
        <v>529</v>
      </c>
      <c r="L695" s="5" t="s">
        <v>564</v>
      </c>
    </row>
    <row r="696">
      <c r="A696" s="1" t="s">
        <v>2853</v>
      </c>
      <c r="B696" s="5" t="s">
        <v>2854</v>
      </c>
      <c r="C696" s="5" t="s">
        <v>53</v>
      </c>
      <c r="D696" s="5" t="s">
        <v>950</v>
      </c>
      <c r="E696" s="36">
        <v>36697.0</v>
      </c>
      <c r="F696" s="5">
        <v>6.289680825652E12</v>
      </c>
      <c r="G696" s="1" t="s">
        <v>2855</v>
      </c>
      <c r="H696" s="5" t="s">
        <v>236</v>
      </c>
      <c r="I696" s="5" t="s">
        <v>57</v>
      </c>
      <c r="J696" s="5" t="s">
        <v>511</v>
      </c>
      <c r="K696" s="5" t="s">
        <v>1650</v>
      </c>
      <c r="L696" s="5" t="s">
        <v>2856</v>
      </c>
    </row>
    <row r="697">
      <c r="A697" s="1" t="s">
        <v>2857</v>
      </c>
      <c r="B697" s="5" t="s">
        <v>2858</v>
      </c>
      <c r="C697" s="5" t="s">
        <v>53</v>
      </c>
      <c r="D697" s="5" t="s">
        <v>908</v>
      </c>
      <c r="E697" s="35">
        <v>35089.0</v>
      </c>
      <c r="F697" s="5">
        <v>8.1315064281E10</v>
      </c>
      <c r="G697" s="1" t="s">
        <v>2859</v>
      </c>
      <c r="H697" s="5" t="s">
        <v>481</v>
      </c>
      <c r="I697" s="5" t="s">
        <v>57</v>
      </c>
      <c r="J697" s="5" t="s">
        <v>854</v>
      </c>
    </row>
    <row r="698">
      <c r="A698" s="1" t="s">
        <v>2860</v>
      </c>
      <c r="B698" s="5" t="s">
        <v>2861</v>
      </c>
      <c r="C698" s="5" t="s">
        <v>53</v>
      </c>
      <c r="D698" s="5" t="s">
        <v>2862</v>
      </c>
      <c r="E698" s="36">
        <v>35433.0</v>
      </c>
      <c r="F698" s="5">
        <v>6.282292078472E12</v>
      </c>
      <c r="G698" s="1" t="s">
        <v>2863</v>
      </c>
      <c r="H698" s="5" t="s">
        <v>308</v>
      </c>
      <c r="I698" s="5" t="s">
        <v>57</v>
      </c>
      <c r="J698" s="5" t="s">
        <v>2780</v>
      </c>
      <c r="K698" s="5" t="s">
        <v>500</v>
      </c>
      <c r="L698" s="5" t="s">
        <v>653</v>
      </c>
    </row>
    <row r="699">
      <c r="A699" s="1" t="s">
        <v>2864</v>
      </c>
      <c r="B699" s="5" t="s">
        <v>2865</v>
      </c>
      <c r="C699" s="5" t="s">
        <v>53</v>
      </c>
      <c r="D699" s="5" t="s">
        <v>770</v>
      </c>
      <c r="E699" s="36">
        <v>33979.0</v>
      </c>
      <c r="F699" s="5">
        <v>6.285792001556E12</v>
      </c>
      <c r="G699" s="1" t="s">
        <v>2866</v>
      </c>
      <c r="H699" s="5" t="s">
        <v>575</v>
      </c>
      <c r="I699" s="5" t="s">
        <v>57</v>
      </c>
      <c r="J699" s="5" t="s">
        <v>787</v>
      </c>
      <c r="K699" s="5" t="s">
        <v>523</v>
      </c>
      <c r="L699" s="5" t="s">
        <v>1304</v>
      </c>
    </row>
    <row r="700">
      <c r="A700" s="1" t="s">
        <v>2867</v>
      </c>
      <c r="B700" s="5" t="s">
        <v>2868</v>
      </c>
      <c r="C700" s="5" t="s">
        <v>76</v>
      </c>
      <c r="D700" s="5" t="s">
        <v>537</v>
      </c>
      <c r="E700" s="35">
        <v>35234.0</v>
      </c>
      <c r="F700" s="5">
        <v>6.285156287648E12</v>
      </c>
      <c r="G700" s="1" t="s">
        <v>2869</v>
      </c>
      <c r="H700" s="5" t="s">
        <v>481</v>
      </c>
      <c r="I700" s="5" t="s">
        <v>57</v>
      </c>
      <c r="J700" s="5" t="s">
        <v>2466</v>
      </c>
    </row>
    <row r="701">
      <c r="A701" s="1" t="s">
        <v>2870</v>
      </c>
      <c r="B701" s="5" t="s">
        <v>2871</v>
      </c>
      <c r="C701" s="5" t="s">
        <v>76</v>
      </c>
      <c r="D701" s="5" t="s">
        <v>472</v>
      </c>
      <c r="E701" s="35">
        <v>35341.0</v>
      </c>
      <c r="F701" s="5">
        <v>6.282324710077E12</v>
      </c>
      <c r="G701" s="1" t="s">
        <v>2872</v>
      </c>
      <c r="H701" s="5" t="s">
        <v>308</v>
      </c>
      <c r="I701" s="5" t="s">
        <v>57</v>
      </c>
      <c r="J701" s="5" t="s">
        <v>506</v>
      </c>
    </row>
    <row r="702">
      <c r="A702" s="1" t="s">
        <v>2873</v>
      </c>
      <c r="B702" s="5" t="s">
        <v>2874</v>
      </c>
      <c r="C702" s="5" t="s">
        <v>76</v>
      </c>
      <c r="D702" s="5" t="s">
        <v>472</v>
      </c>
      <c r="E702" s="36">
        <v>33927.0</v>
      </c>
      <c r="F702" s="5">
        <v>6.285876114478E12</v>
      </c>
      <c r="G702" s="1" t="s">
        <v>2875</v>
      </c>
      <c r="H702" s="5" t="s">
        <v>939</v>
      </c>
      <c r="I702" s="5" t="s">
        <v>57</v>
      </c>
      <c r="J702" s="5" t="s">
        <v>475</v>
      </c>
      <c r="K702" s="5" t="s">
        <v>539</v>
      </c>
      <c r="L702" s="5" t="s">
        <v>540</v>
      </c>
    </row>
    <row r="703">
      <c r="A703" s="1" t="s">
        <v>2876</v>
      </c>
      <c r="B703" s="5" t="s">
        <v>2877</v>
      </c>
      <c r="C703" s="5" t="s">
        <v>76</v>
      </c>
      <c r="D703" s="5" t="s">
        <v>664</v>
      </c>
      <c r="E703" s="36">
        <v>33712.0</v>
      </c>
      <c r="F703" s="5">
        <v>6.28589121404E12</v>
      </c>
      <c r="G703" s="1" t="s">
        <v>2878</v>
      </c>
      <c r="H703" s="5" t="s">
        <v>499</v>
      </c>
      <c r="I703" s="5" t="s">
        <v>57</v>
      </c>
      <c r="J703" s="5" t="s">
        <v>58</v>
      </c>
      <c r="K703" s="5" t="s">
        <v>539</v>
      </c>
      <c r="L703" s="5" t="s">
        <v>799</v>
      </c>
    </row>
    <row r="704">
      <c r="A704" s="1" t="s">
        <v>2879</v>
      </c>
      <c r="B704" s="5" t="s">
        <v>2880</v>
      </c>
      <c r="C704" s="5" t="s">
        <v>53</v>
      </c>
      <c r="D704" s="5" t="s">
        <v>479</v>
      </c>
      <c r="E704" s="36">
        <v>34677.0</v>
      </c>
      <c r="F704" s="5">
        <v>6.282354887543E12</v>
      </c>
      <c r="G704" s="1" t="s">
        <v>2881</v>
      </c>
      <c r="H704" s="5" t="s">
        <v>661</v>
      </c>
      <c r="I704" s="5" t="s">
        <v>57</v>
      </c>
      <c r="J704" s="5" t="s">
        <v>58</v>
      </c>
      <c r="K704" s="5" t="s">
        <v>523</v>
      </c>
      <c r="L704" s="5" t="s">
        <v>940</v>
      </c>
    </row>
    <row r="705">
      <c r="A705" s="1" t="s">
        <v>2882</v>
      </c>
      <c r="B705" s="5" t="s">
        <v>2883</v>
      </c>
      <c r="C705" s="5" t="s">
        <v>76</v>
      </c>
      <c r="D705" s="5" t="s">
        <v>533</v>
      </c>
      <c r="E705" s="36">
        <v>33591.0</v>
      </c>
      <c r="F705" s="5">
        <v>6.289678399512E12</v>
      </c>
      <c r="G705" s="1" t="s">
        <v>2884</v>
      </c>
      <c r="H705" s="5" t="s">
        <v>575</v>
      </c>
      <c r="I705" s="5" t="s">
        <v>57</v>
      </c>
      <c r="J705" s="5" t="s">
        <v>58</v>
      </c>
      <c r="K705" s="5" t="s">
        <v>672</v>
      </c>
      <c r="L705" s="5" t="s">
        <v>2885</v>
      </c>
    </row>
    <row r="706">
      <c r="A706" s="1" t="s">
        <v>2886</v>
      </c>
      <c r="B706" s="5" t="s">
        <v>2887</v>
      </c>
      <c r="C706" s="5" t="s">
        <v>76</v>
      </c>
      <c r="D706" s="5" t="s">
        <v>2888</v>
      </c>
      <c r="E706" s="36">
        <v>37833.0</v>
      </c>
      <c r="F706" s="5">
        <v>6.289652232142E12</v>
      </c>
      <c r="G706" s="1" t="s">
        <v>2889</v>
      </c>
      <c r="H706" s="5" t="s">
        <v>544</v>
      </c>
      <c r="I706" s="5" t="s">
        <v>57</v>
      </c>
      <c r="J706" s="5" t="s">
        <v>787</v>
      </c>
      <c r="K706" s="5" t="s">
        <v>539</v>
      </c>
      <c r="L706" s="5" t="s">
        <v>799</v>
      </c>
    </row>
    <row r="707">
      <c r="A707" s="1" t="s">
        <v>2890</v>
      </c>
      <c r="B707" s="5" t="s">
        <v>2891</v>
      </c>
      <c r="C707" s="5" t="s">
        <v>76</v>
      </c>
      <c r="D707" s="5" t="s">
        <v>537</v>
      </c>
      <c r="E707" s="36">
        <v>37522.0</v>
      </c>
      <c r="F707" s="5">
        <v>6.281384667131E12</v>
      </c>
      <c r="G707" s="1" t="s">
        <v>2892</v>
      </c>
      <c r="H707" s="5" t="s">
        <v>544</v>
      </c>
      <c r="I707" s="5" t="s">
        <v>57</v>
      </c>
      <c r="J707" s="5" t="s">
        <v>923</v>
      </c>
      <c r="K707" s="5" t="s">
        <v>1542</v>
      </c>
      <c r="L707" s="5" t="s">
        <v>883</v>
      </c>
    </row>
    <row r="708">
      <c r="A708" s="1" t="s">
        <v>2893</v>
      </c>
      <c r="B708" s="5" t="s">
        <v>2894</v>
      </c>
      <c r="C708" s="5" t="s">
        <v>76</v>
      </c>
      <c r="D708" s="5" t="s">
        <v>2895</v>
      </c>
      <c r="E708" s="36">
        <v>37051.0</v>
      </c>
      <c r="F708" s="5">
        <v>6.289694496299E12</v>
      </c>
      <c r="G708" s="1" t="s">
        <v>2896</v>
      </c>
      <c r="H708" s="5" t="s">
        <v>293</v>
      </c>
      <c r="I708" s="5" t="s">
        <v>57</v>
      </c>
      <c r="J708" s="5" t="s">
        <v>58</v>
      </c>
      <c r="K708" s="5" t="s">
        <v>529</v>
      </c>
      <c r="L708" s="5" t="s">
        <v>2361</v>
      </c>
    </row>
    <row r="709">
      <c r="A709" s="1" t="s">
        <v>2897</v>
      </c>
      <c r="B709" s="5" t="s">
        <v>2898</v>
      </c>
      <c r="C709" s="5" t="s">
        <v>76</v>
      </c>
      <c r="D709" s="5" t="s">
        <v>373</v>
      </c>
      <c r="E709" s="36">
        <v>36174.0</v>
      </c>
      <c r="F709" s="5">
        <v>6.285939615952E12</v>
      </c>
      <c r="G709" s="1" t="s">
        <v>2899</v>
      </c>
      <c r="H709" s="5" t="s">
        <v>516</v>
      </c>
      <c r="I709" s="5" t="s">
        <v>57</v>
      </c>
      <c r="J709" s="5" t="s">
        <v>1217</v>
      </c>
      <c r="K709" s="5" t="s">
        <v>523</v>
      </c>
      <c r="L709" s="5" t="s">
        <v>524</v>
      </c>
    </row>
    <row r="710">
      <c r="A710" s="1" t="s">
        <v>2900</v>
      </c>
      <c r="B710" s="5" t="s">
        <v>2901</v>
      </c>
      <c r="C710" s="5" t="s">
        <v>76</v>
      </c>
      <c r="D710" s="5" t="s">
        <v>641</v>
      </c>
      <c r="E710" s="36">
        <v>33079.0</v>
      </c>
      <c r="F710" s="5">
        <v>6.289619552515E12</v>
      </c>
      <c r="G710" s="1" t="s">
        <v>2902</v>
      </c>
      <c r="H710" s="5" t="s">
        <v>1032</v>
      </c>
      <c r="I710" s="5" t="s">
        <v>57</v>
      </c>
      <c r="J710" s="5" t="s">
        <v>643</v>
      </c>
      <c r="K710" s="5" t="s">
        <v>539</v>
      </c>
      <c r="L710" s="5" t="s">
        <v>799</v>
      </c>
    </row>
    <row r="711">
      <c r="A711" s="1" t="s">
        <v>2903</v>
      </c>
      <c r="B711" s="5" t="s">
        <v>2904</v>
      </c>
      <c r="C711" s="5" t="s">
        <v>76</v>
      </c>
      <c r="D711" s="5" t="s">
        <v>2905</v>
      </c>
      <c r="E711" s="36">
        <v>32090.0</v>
      </c>
      <c r="F711" s="5">
        <v>6.282311835432E12</v>
      </c>
      <c r="G711" s="1" t="s">
        <v>2906</v>
      </c>
      <c r="H711" s="5" t="s">
        <v>1448</v>
      </c>
      <c r="I711" s="5" t="s">
        <v>57</v>
      </c>
      <c r="J711" s="5" t="s">
        <v>643</v>
      </c>
      <c r="K711" s="5" t="s">
        <v>523</v>
      </c>
      <c r="L711" s="5" t="s">
        <v>746</v>
      </c>
    </row>
    <row r="712">
      <c r="A712" s="1" t="s">
        <v>2907</v>
      </c>
      <c r="B712" s="5" t="s">
        <v>2908</v>
      </c>
      <c r="C712" s="5" t="s">
        <v>76</v>
      </c>
      <c r="D712" s="5" t="s">
        <v>537</v>
      </c>
      <c r="E712" s="36">
        <v>35211.0</v>
      </c>
      <c r="F712" s="5">
        <v>6.282114522898E12</v>
      </c>
      <c r="G712" s="1" t="s">
        <v>2909</v>
      </c>
      <c r="H712" s="5" t="s">
        <v>481</v>
      </c>
      <c r="I712" s="5" t="s">
        <v>57</v>
      </c>
      <c r="J712" s="5" t="s">
        <v>1205</v>
      </c>
      <c r="K712" s="5" t="s">
        <v>523</v>
      </c>
      <c r="L712" s="5" t="s">
        <v>577</v>
      </c>
    </row>
    <row r="713">
      <c r="A713" s="1" t="s">
        <v>2910</v>
      </c>
      <c r="B713" s="5" t="s">
        <v>2911</v>
      </c>
      <c r="C713" s="5" t="s">
        <v>53</v>
      </c>
      <c r="D713" s="5" t="s">
        <v>2912</v>
      </c>
      <c r="E713" s="36">
        <v>35279.0</v>
      </c>
      <c r="F713" s="5">
        <v>6.28228058684E12</v>
      </c>
      <c r="G713" s="1" t="s">
        <v>2913</v>
      </c>
      <c r="H713" s="5" t="s">
        <v>481</v>
      </c>
      <c r="I713" s="5" t="s">
        <v>57</v>
      </c>
      <c r="J713" s="5" t="s">
        <v>643</v>
      </c>
      <c r="K713" s="5" t="s">
        <v>539</v>
      </c>
      <c r="L713" s="5" t="s">
        <v>2914</v>
      </c>
    </row>
    <row r="714">
      <c r="A714" s="1" t="s">
        <v>2915</v>
      </c>
      <c r="B714" s="5" t="s">
        <v>2916</v>
      </c>
      <c r="C714" s="5" t="s">
        <v>53</v>
      </c>
      <c r="D714" s="5" t="s">
        <v>968</v>
      </c>
      <c r="E714" s="36">
        <v>35094.0</v>
      </c>
      <c r="F714" s="5">
        <v>6.282231544901E12</v>
      </c>
      <c r="G714" s="1" t="s">
        <v>2917</v>
      </c>
      <c r="H714" s="5" t="s">
        <v>481</v>
      </c>
      <c r="I714" s="5" t="s">
        <v>57</v>
      </c>
      <c r="J714" s="5" t="s">
        <v>506</v>
      </c>
      <c r="K714" s="5" t="s">
        <v>539</v>
      </c>
      <c r="L714" s="5" t="s">
        <v>859</v>
      </c>
    </row>
    <row r="715">
      <c r="A715" s="1" t="s">
        <v>2918</v>
      </c>
      <c r="B715" s="5" t="s">
        <v>2919</v>
      </c>
      <c r="C715" s="5" t="s">
        <v>53</v>
      </c>
      <c r="D715" s="5" t="s">
        <v>1660</v>
      </c>
      <c r="E715" s="36">
        <v>34788.0</v>
      </c>
      <c r="F715" s="5">
        <v>6.28525144041E12</v>
      </c>
      <c r="G715" s="1" t="s">
        <v>2920</v>
      </c>
      <c r="H715" s="5" t="s">
        <v>649</v>
      </c>
      <c r="I715" s="5" t="s">
        <v>57</v>
      </c>
      <c r="J715" s="5" t="s">
        <v>2400</v>
      </c>
      <c r="K715" s="5" t="s">
        <v>539</v>
      </c>
      <c r="L715" s="5" t="s">
        <v>540</v>
      </c>
    </row>
    <row r="716">
      <c r="A716" s="1" t="s">
        <v>2921</v>
      </c>
      <c r="B716" s="5" t="s">
        <v>2922</v>
      </c>
      <c r="C716" s="5" t="s">
        <v>53</v>
      </c>
      <c r="D716" s="5" t="s">
        <v>2349</v>
      </c>
      <c r="E716" s="36">
        <v>34936.0</v>
      </c>
      <c r="F716" s="5">
        <v>6.281330543676E12</v>
      </c>
      <c r="G716" s="1" t="s">
        <v>2923</v>
      </c>
      <c r="H716" s="5" t="s">
        <v>481</v>
      </c>
      <c r="I716" s="5" t="s">
        <v>57</v>
      </c>
      <c r="J716" s="5" t="s">
        <v>996</v>
      </c>
      <c r="K716" s="5" t="s">
        <v>1444</v>
      </c>
      <c r="L716" s="5" t="s">
        <v>866</v>
      </c>
    </row>
    <row r="717">
      <c r="A717" s="1" t="s">
        <v>2924</v>
      </c>
      <c r="B717" s="5" t="s">
        <v>2925</v>
      </c>
      <c r="C717" s="5" t="s">
        <v>76</v>
      </c>
      <c r="D717" s="5" t="s">
        <v>2926</v>
      </c>
      <c r="E717" s="36">
        <v>35333.0</v>
      </c>
      <c r="F717" s="5">
        <v>6.289663294394E12</v>
      </c>
      <c r="G717" s="1" t="s">
        <v>2927</v>
      </c>
      <c r="H717" s="5" t="s">
        <v>481</v>
      </c>
      <c r="I717" s="5" t="s">
        <v>57</v>
      </c>
      <c r="J717" s="5" t="s">
        <v>996</v>
      </c>
      <c r="K717" s="5" t="s">
        <v>2928</v>
      </c>
      <c r="L717" s="5" t="s">
        <v>1577</v>
      </c>
    </row>
    <row r="718">
      <c r="A718" s="1" t="s">
        <v>2929</v>
      </c>
      <c r="B718" s="5" t="s">
        <v>2930</v>
      </c>
      <c r="C718" s="5" t="s">
        <v>76</v>
      </c>
      <c r="D718" s="5" t="s">
        <v>537</v>
      </c>
      <c r="E718" s="35">
        <v>36485.0</v>
      </c>
      <c r="F718" s="5">
        <v>6.385210255016E12</v>
      </c>
      <c r="G718" s="1" t="s">
        <v>2931</v>
      </c>
      <c r="H718" s="5" t="s">
        <v>236</v>
      </c>
      <c r="I718" s="5" t="s">
        <v>562</v>
      </c>
      <c r="J718" s="5" t="s">
        <v>798</v>
      </c>
    </row>
    <row r="719">
      <c r="A719" s="1" t="s">
        <v>2932</v>
      </c>
      <c r="B719" s="5" t="s">
        <v>2933</v>
      </c>
      <c r="C719" s="5" t="s">
        <v>76</v>
      </c>
      <c r="D719" s="5" t="s">
        <v>994</v>
      </c>
      <c r="E719" s="36">
        <v>36442.0</v>
      </c>
      <c r="F719" s="5">
        <v>6.282257578071E12</v>
      </c>
      <c r="G719" s="1" t="s">
        <v>2934</v>
      </c>
      <c r="H719" s="5" t="s">
        <v>516</v>
      </c>
      <c r="I719" s="5" t="s">
        <v>57</v>
      </c>
      <c r="J719" s="5" t="s">
        <v>1962</v>
      </c>
      <c r="K719" s="5" t="s">
        <v>2935</v>
      </c>
      <c r="L719" s="5" t="s">
        <v>582</v>
      </c>
    </row>
    <row r="720">
      <c r="A720" s="1" t="s">
        <v>2936</v>
      </c>
      <c r="B720" s="5" t="s">
        <v>2937</v>
      </c>
      <c r="C720" s="5" t="s">
        <v>53</v>
      </c>
      <c r="D720" s="5" t="s">
        <v>994</v>
      </c>
      <c r="E720" s="35">
        <v>36182.0</v>
      </c>
      <c r="F720" s="5">
        <v>6.281332535049E12</v>
      </c>
      <c r="G720" s="1" t="s">
        <v>2938</v>
      </c>
      <c r="H720" s="5" t="s">
        <v>516</v>
      </c>
      <c r="I720" s="5" t="s">
        <v>57</v>
      </c>
      <c r="J720" s="5" t="s">
        <v>2939</v>
      </c>
    </row>
    <row r="721">
      <c r="A721" s="1" t="s">
        <v>2940</v>
      </c>
      <c r="B721" s="5" t="s">
        <v>2941</v>
      </c>
      <c r="C721" s="5" t="s">
        <v>76</v>
      </c>
      <c r="D721" s="5" t="s">
        <v>533</v>
      </c>
      <c r="E721" s="35">
        <v>36634.0</v>
      </c>
      <c r="F721" s="5">
        <v>6.28966588186E11</v>
      </c>
      <c r="G721" s="1" t="s">
        <v>2942</v>
      </c>
      <c r="H721" s="5" t="s">
        <v>236</v>
      </c>
      <c r="I721" s="5" t="s">
        <v>57</v>
      </c>
      <c r="J721" s="5" t="s">
        <v>58</v>
      </c>
    </row>
    <row r="722">
      <c r="A722" s="1" t="s">
        <v>2943</v>
      </c>
      <c r="B722" s="5" t="s">
        <v>2944</v>
      </c>
      <c r="C722" s="5" t="s">
        <v>76</v>
      </c>
      <c r="D722" s="5" t="s">
        <v>537</v>
      </c>
      <c r="E722" s="36">
        <v>37574.0</v>
      </c>
      <c r="F722" s="5">
        <v>6.281212054443E12</v>
      </c>
      <c r="G722" s="1" t="s">
        <v>2945</v>
      </c>
      <c r="H722" s="5" t="s">
        <v>474</v>
      </c>
      <c r="I722" s="5" t="s">
        <v>562</v>
      </c>
      <c r="J722" s="5" t="s">
        <v>798</v>
      </c>
      <c r="K722" s="5" t="s">
        <v>799</v>
      </c>
      <c r="L722" s="5" t="s">
        <v>800</v>
      </c>
    </row>
    <row r="723">
      <c r="A723" s="1" t="s">
        <v>2946</v>
      </c>
      <c r="B723" s="5" t="s">
        <v>2947</v>
      </c>
      <c r="C723" s="5" t="s">
        <v>53</v>
      </c>
      <c r="D723" s="5" t="s">
        <v>533</v>
      </c>
      <c r="E723" s="36">
        <v>35133.0</v>
      </c>
      <c r="F723" s="5">
        <v>6.28225144493E12</v>
      </c>
      <c r="G723" s="1" t="s">
        <v>2948</v>
      </c>
      <c r="H723" s="5" t="s">
        <v>481</v>
      </c>
      <c r="I723" s="5" t="s">
        <v>57</v>
      </c>
      <c r="J723" s="5" t="s">
        <v>58</v>
      </c>
      <c r="K723" s="5" t="s">
        <v>529</v>
      </c>
      <c r="L723" s="5" t="s">
        <v>677</v>
      </c>
    </row>
    <row r="724">
      <c r="A724" s="1" t="s">
        <v>2949</v>
      </c>
      <c r="B724" s="5" t="s">
        <v>2950</v>
      </c>
      <c r="C724" s="5" t="s">
        <v>76</v>
      </c>
      <c r="D724" s="5" t="s">
        <v>2951</v>
      </c>
      <c r="E724" s="36">
        <v>37284.0</v>
      </c>
      <c r="F724" s="5">
        <v>6.282273977778E12</v>
      </c>
      <c r="G724" s="1" t="s">
        <v>2952</v>
      </c>
      <c r="H724" s="5" t="s">
        <v>544</v>
      </c>
      <c r="I724" s="5" t="s">
        <v>57</v>
      </c>
      <c r="J724" s="5" t="s">
        <v>1002</v>
      </c>
      <c r="K724" s="5" t="s">
        <v>2953</v>
      </c>
      <c r="L724" s="5" t="s">
        <v>2953</v>
      </c>
    </row>
    <row r="725">
      <c r="A725" s="1" t="s">
        <v>2954</v>
      </c>
      <c r="B725" s="5" t="s">
        <v>2955</v>
      </c>
      <c r="C725" s="5" t="s">
        <v>53</v>
      </c>
      <c r="D725" s="5" t="s">
        <v>2956</v>
      </c>
      <c r="E725" s="36">
        <v>37722.0</v>
      </c>
      <c r="F725" s="5">
        <v>6.282110784204E12</v>
      </c>
      <c r="G725" s="1" t="s">
        <v>2957</v>
      </c>
      <c r="H725" s="5" t="s">
        <v>544</v>
      </c>
      <c r="I725" s="5" t="s">
        <v>57</v>
      </c>
      <c r="J725" s="5" t="s">
        <v>58</v>
      </c>
      <c r="K725" s="5" t="s">
        <v>539</v>
      </c>
      <c r="L725" s="5" t="s">
        <v>540</v>
      </c>
    </row>
    <row r="726">
      <c r="A726" s="1" t="s">
        <v>2958</v>
      </c>
      <c r="B726" s="5" t="s">
        <v>2959</v>
      </c>
      <c r="C726" s="5" t="s">
        <v>53</v>
      </c>
      <c r="D726" s="5" t="s">
        <v>2960</v>
      </c>
      <c r="E726" s="36">
        <v>38041.0</v>
      </c>
      <c r="F726" s="5">
        <v>6.289699188684E12</v>
      </c>
      <c r="G726" s="1" t="s">
        <v>2961</v>
      </c>
      <c r="H726" s="5" t="s">
        <v>474</v>
      </c>
      <c r="I726" s="5" t="s">
        <v>57</v>
      </c>
      <c r="J726" s="5" t="s">
        <v>777</v>
      </c>
      <c r="K726" s="5" t="s">
        <v>529</v>
      </c>
      <c r="L726" s="5" t="s">
        <v>592</v>
      </c>
    </row>
    <row r="727">
      <c r="A727" s="1" t="s">
        <v>2962</v>
      </c>
      <c r="B727" s="5" t="s">
        <v>2963</v>
      </c>
      <c r="C727" s="5" t="s">
        <v>76</v>
      </c>
      <c r="D727" s="5" t="s">
        <v>968</v>
      </c>
      <c r="E727" s="36">
        <v>37592.0</v>
      </c>
      <c r="F727" s="5">
        <v>6.282257823182E12</v>
      </c>
      <c r="G727" s="1" t="s">
        <v>2964</v>
      </c>
      <c r="H727" s="5" t="s">
        <v>474</v>
      </c>
      <c r="I727" s="5" t="s">
        <v>57</v>
      </c>
      <c r="J727" s="5" t="s">
        <v>996</v>
      </c>
      <c r="K727" s="5" t="s">
        <v>529</v>
      </c>
      <c r="L727" s="5" t="s">
        <v>866</v>
      </c>
    </row>
    <row r="728">
      <c r="A728" s="1" t="s">
        <v>2965</v>
      </c>
      <c r="B728" s="5" t="s">
        <v>2966</v>
      </c>
      <c r="C728" s="5" t="s">
        <v>76</v>
      </c>
      <c r="D728" s="5" t="s">
        <v>908</v>
      </c>
      <c r="E728" s="36">
        <v>37525.0</v>
      </c>
      <c r="F728" s="5">
        <v>6.289625149939E12</v>
      </c>
      <c r="G728" s="1" t="s">
        <v>2967</v>
      </c>
      <c r="H728" s="5" t="s">
        <v>474</v>
      </c>
      <c r="I728" s="5" t="s">
        <v>57</v>
      </c>
      <c r="J728" s="5" t="s">
        <v>854</v>
      </c>
      <c r="K728" s="5" t="s">
        <v>523</v>
      </c>
      <c r="L728" s="5" t="s">
        <v>1147</v>
      </c>
    </row>
    <row r="729">
      <c r="A729" s="1" t="s">
        <v>2968</v>
      </c>
      <c r="B729" s="5" t="s">
        <v>2969</v>
      </c>
      <c r="C729" s="5" t="s">
        <v>76</v>
      </c>
      <c r="D729" s="5" t="s">
        <v>2622</v>
      </c>
      <c r="E729" s="36">
        <v>37113.0</v>
      </c>
      <c r="F729" s="5">
        <v>6.2882244816024E13</v>
      </c>
      <c r="G729" s="1" t="s">
        <v>2970</v>
      </c>
      <c r="H729" s="5" t="s">
        <v>293</v>
      </c>
      <c r="I729" s="5" t="s">
        <v>57</v>
      </c>
      <c r="J729" s="5" t="s">
        <v>996</v>
      </c>
      <c r="K729" s="5" t="s">
        <v>529</v>
      </c>
      <c r="L729" s="5" t="s">
        <v>1535</v>
      </c>
    </row>
    <row r="730">
      <c r="A730" s="1" t="s">
        <v>2971</v>
      </c>
      <c r="B730" s="5" t="s">
        <v>2972</v>
      </c>
      <c r="C730" s="5" t="s">
        <v>53</v>
      </c>
      <c r="D730" s="5" t="s">
        <v>633</v>
      </c>
      <c r="E730" s="36">
        <v>37557.0</v>
      </c>
      <c r="F730" s="5">
        <v>6.285704606252E12</v>
      </c>
      <c r="G730" s="1" t="s">
        <v>2973</v>
      </c>
      <c r="H730" s="5" t="s">
        <v>544</v>
      </c>
      <c r="I730" s="5" t="s">
        <v>57</v>
      </c>
      <c r="J730" s="5" t="s">
        <v>996</v>
      </c>
      <c r="K730" s="5" t="s">
        <v>2974</v>
      </c>
      <c r="L730" s="5" t="s">
        <v>927</v>
      </c>
    </row>
    <row r="731">
      <c r="A731" s="1" t="s">
        <v>2975</v>
      </c>
      <c r="B731" s="5" t="s">
        <v>2976</v>
      </c>
      <c r="C731" s="5" t="s">
        <v>76</v>
      </c>
      <c r="D731" s="5" t="s">
        <v>567</v>
      </c>
      <c r="E731" s="36">
        <v>37811.0</v>
      </c>
      <c r="F731" s="5">
        <v>6.281521544118E12</v>
      </c>
      <c r="G731" s="1" t="s">
        <v>2977</v>
      </c>
      <c r="H731" s="5" t="s">
        <v>544</v>
      </c>
      <c r="I731" s="5" t="s">
        <v>57</v>
      </c>
      <c r="J731" s="5" t="s">
        <v>996</v>
      </c>
      <c r="K731" s="5" t="s">
        <v>529</v>
      </c>
      <c r="L731" s="5" t="s">
        <v>677</v>
      </c>
    </row>
    <row r="732">
      <c r="A732" s="1" t="s">
        <v>2978</v>
      </c>
      <c r="B732" s="5" t="s">
        <v>2979</v>
      </c>
      <c r="C732" s="5" t="s">
        <v>53</v>
      </c>
      <c r="D732" s="5" t="s">
        <v>908</v>
      </c>
      <c r="E732" s="36">
        <v>37903.0</v>
      </c>
      <c r="F732" s="5">
        <v>6.28994477193E11</v>
      </c>
      <c r="G732" s="1" t="s">
        <v>2980</v>
      </c>
      <c r="H732" s="5" t="s">
        <v>544</v>
      </c>
      <c r="I732" s="5" t="s">
        <v>57</v>
      </c>
      <c r="J732" s="5" t="s">
        <v>854</v>
      </c>
      <c r="K732" s="5" t="s">
        <v>848</v>
      </c>
      <c r="L732" s="5" t="s">
        <v>849</v>
      </c>
    </row>
    <row r="733">
      <c r="A733" s="1" t="s">
        <v>2981</v>
      </c>
      <c r="B733" s="5" t="s">
        <v>2982</v>
      </c>
      <c r="C733" s="5" t="s">
        <v>53</v>
      </c>
      <c r="D733" s="5" t="s">
        <v>968</v>
      </c>
      <c r="E733" s="36">
        <v>34560.0</v>
      </c>
      <c r="F733" s="5">
        <v>6.282139846608E12</v>
      </c>
      <c r="G733" s="1" t="s">
        <v>2983</v>
      </c>
      <c r="H733" s="5" t="s">
        <v>661</v>
      </c>
      <c r="I733" s="5" t="s">
        <v>562</v>
      </c>
      <c r="J733" s="5" t="s">
        <v>506</v>
      </c>
      <c r="K733" s="5" t="s">
        <v>2068</v>
      </c>
      <c r="L733" s="5" t="s">
        <v>592</v>
      </c>
    </row>
    <row r="734">
      <c r="A734" s="1" t="s">
        <v>2984</v>
      </c>
      <c r="B734" s="5" t="s">
        <v>2985</v>
      </c>
      <c r="C734" s="5" t="s">
        <v>76</v>
      </c>
      <c r="D734" s="5" t="s">
        <v>1030</v>
      </c>
      <c r="E734" s="36">
        <v>30430.0</v>
      </c>
      <c r="F734" s="5">
        <v>6.285602453686E12</v>
      </c>
      <c r="G734" s="1" t="s">
        <v>2986</v>
      </c>
      <c r="H734" s="5" t="s">
        <v>630</v>
      </c>
      <c r="I734" s="5" t="s">
        <v>57</v>
      </c>
      <c r="J734" s="5" t="s">
        <v>1425</v>
      </c>
      <c r="K734" s="5" t="s">
        <v>1449</v>
      </c>
      <c r="L734" s="5" t="s">
        <v>1454</v>
      </c>
    </row>
    <row r="735">
      <c r="A735" s="1" t="s">
        <v>2987</v>
      </c>
      <c r="B735" s="5" t="s">
        <v>2988</v>
      </c>
      <c r="C735" s="5" t="s">
        <v>53</v>
      </c>
      <c r="D735" s="5" t="s">
        <v>968</v>
      </c>
      <c r="E735" s="36">
        <v>37696.0</v>
      </c>
      <c r="F735" s="5">
        <v>6.289612190107E12</v>
      </c>
      <c r="G735" s="1" t="s">
        <v>2989</v>
      </c>
      <c r="H735" s="5" t="s">
        <v>544</v>
      </c>
      <c r="I735" s="5" t="s">
        <v>57</v>
      </c>
      <c r="J735" s="5" t="s">
        <v>506</v>
      </c>
      <c r="K735" s="5" t="s">
        <v>1288</v>
      </c>
      <c r="L735" s="5" t="s">
        <v>2990</v>
      </c>
    </row>
    <row r="736">
      <c r="A736" s="1" t="s">
        <v>2991</v>
      </c>
      <c r="B736" s="5" t="s">
        <v>2992</v>
      </c>
      <c r="C736" s="5" t="s">
        <v>76</v>
      </c>
      <c r="D736" s="5" t="s">
        <v>2993</v>
      </c>
      <c r="E736" s="36">
        <v>37473.0</v>
      </c>
      <c r="F736" s="5">
        <v>6.285730246855E12</v>
      </c>
      <c r="G736" s="1" t="s">
        <v>2994</v>
      </c>
      <c r="H736" s="5" t="s">
        <v>544</v>
      </c>
      <c r="I736" s="5" t="s">
        <v>57</v>
      </c>
      <c r="J736" s="5" t="s">
        <v>996</v>
      </c>
      <c r="K736" s="5" t="s">
        <v>2995</v>
      </c>
      <c r="L736" s="5" t="s">
        <v>677</v>
      </c>
    </row>
    <row r="737">
      <c r="A737" s="1" t="s">
        <v>2996</v>
      </c>
      <c r="B737" s="5" t="s">
        <v>2997</v>
      </c>
      <c r="C737" s="5" t="s">
        <v>76</v>
      </c>
      <c r="D737" s="5" t="s">
        <v>1253</v>
      </c>
      <c r="E737" s="36">
        <v>36265.0</v>
      </c>
      <c r="F737" s="5">
        <v>6.28123440304E12</v>
      </c>
      <c r="G737" s="1" t="s">
        <v>2998</v>
      </c>
      <c r="H737" s="5" t="s">
        <v>516</v>
      </c>
      <c r="I737" s="5" t="s">
        <v>57</v>
      </c>
      <c r="J737" s="5" t="s">
        <v>506</v>
      </c>
      <c r="K737" s="5" t="s">
        <v>848</v>
      </c>
      <c r="L737" s="5" t="s">
        <v>849</v>
      </c>
    </row>
    <row r="738">
      <c r="A738" s="1" t="s">
        <v>2999</v>
      </c>
      <c r="B738" s="5" t="s">
        <v>3000</v>
      </c>
      <c r="C738" s="5" t="s">
        <v>53</v>
      </c>
      <c r="D738" s="5" t="s">
        <v>724</v>
      </c>
      <c r="E738" s="36">
        <v>32637.0</v>
      </c>
      <c r="F738" s="5">
        <v>6.288854726E11</v>
      </c>
      <c r="G738" s="1" t="s">
        <v>3001</v>
      </c>
      <c r="H738" s="5" t="s">
        <v>190</v>
      </c>
      <c r="I738" s="5" t="s">
        <v>57</v>
      </c>
      <c r="J738" s="5" t="s">
        <v>506</v>
      </c>
      <c r="K738" s="5" t="s">
        <v>539</v>
      </c>
      <c r="L738" s="5" t="s">
        <v>540</v>
      </c>
    </row>
    <row r="739">
      <c r="A739" s="1" t="s">
        <v>3002</v>
      </c>
      <c r="B739" s="5" t="s">
        <v>3003</v>
      </c>
      <c r="C739" s="5" t="s">
        <v>53</v>
      </c>
      <c r="D739" s="5" t="s">
        <v>968</v>
      </c>
      <c r="E739" s="36">
        <v>35792.0</v>
      </c>
      <c r="F739" s="5">
        <v>6.282230759911E12</v>
      </c>
      <c r="G739" s="1" t="s">
        <v>3004</v>
      </c>
      <c r="H739" s="5" t="s">
        <v>438</v>
      </c>
      <c r="I739" s="5" t="s">
        <v>57</v>
      </c>
      <c r="J739" s="5" t="s">
        <v>506</v>
      </c>
      <c r="K739" s="5" t="s">
        <v>523</v>
      </c>
      <c r="L739" s="5" t="s">
        <v>2601</v>
      </c>
    </row>
    <row r="740">
      <c r="A740" s="1" t="s">
        <v>3005</v>
      </c>
      <c r="B740" s="5" t="s">
        <v>3006</v>
      </c>
      <c r="C740" s="5" t="s">
        <v>76</v>
      </c>
      <c r="D740" s="5" t="s">
        <v>271</v>
      </c>
      <c r="E740" s="36">
        <v>36986.0</v>
      </c>
      <c r="F740" s="5">
        <v>6.28522126711E12</v>
      </c>
      <c r="G740" s="1" t="s">
        <v>3007</v>
      </c>
      <c r="H740" s="5" t="s">
        <v>474</v>
      </c>
      <c r="I740" s="5" t="s">
        <v>57</v>
      </c>
      <c r="J740" s="5" t="s">
        <v>1097</v>
      </c>
      <c r="K740" s="5" t="s">
        <v>529</v>
      </c>
      <c r="L740" s="5" t="s">
        <v>530</v>
      </c>
    </row>
    <row r="741">
      <c r="A741" s="1" t="s">
        <v>3008</v>
      </c>
      <c r="B741" s="5" t="s">
        <v>3009</v>
      </c>
      <c r="C741" s="5" t="s">
        <v>53</v>
      </c>
      <c r="D741" s="5" t="s">
        <v>3010</v>
      </c>
      <c r="E741" s="36">
        <v>35865.0</v>
      </c>
      <c r="F741" s="5">
        <v>6.282187069889E12</v>
      </c>
      <c r="G741" s="1" t="s">
        <v>3011</v>
      </c>
      <c r="H741" s="5" t="s">
        <v>438</v>
      </c>
      <c r="I741" s="5" t="s">
        <v>57</v>
      </c>
      <c r="J741" s="5" t="s">
        <v>3012</v>
      </c>
      <c r="K741" s="5" t="s">
        <v>3013</v>
      </c>
      <c r="L741" s="5" t="s">
        <v>3014</v>
      </c>
    </row>
    <row r="742">
      <c r="A742" s="1" t="s">
        <v>3015</v>
      </c>
      <c r="B742" s="5" t="s">
        <v>3016</v>
      </c>
      <c r="C742" s="5" t="s">
        <v>76</v>
      </c>
      <c r="D742" s="5" t="s">
        <v>533</v>
      </c>
      <c r="E742" s="36">
        <v>37530.0</v>
      </c>
      <c r="F742" s="5">
        <v>6.289508961678E12</v>
      </c>
      <c r="G742" s="1" t="s">
        <v>3017</v>
      </c>
      <c r="H742" s="5" t="s">
        <v>474</v>
      </c>
      <c r="I742" s="5" t="s">
        <v>57</v>
      </c>
      <c r="J742" s="5" t="s">
        <v>58</v>
      </c>
      <c r="K742" s="5" t="s">
        <v>529</v>
      </c>
      <c r="L742" s="5" t="s">
        <v>1359</v>
      </c>
    </row>
    <row r="743">
      <c r="A743" s="1" t="s">
        <v>3018</v>
      </c>
      <c r="B743" s="5" t="s">
        <v>3019</v>
      </c>
      <c r="C743" s="5" t="s">
        <v>76</v>
      </c>
      <c r="D743" s="5" t="s">
        <v>2960</v>
      </c>
      <c r="E743" s="36">
        <v>37522.0</v>
      </c>
      <c r="F743" s="5">
        <v>6.285716586307E12</v>
      </c>
      <c r="G743" s="1" t="s">
        <v>3020</v>
      </c>
      <c r="H743" s="5" t="s">
        <v>544</v>
      </c>
      <c r="I743" s="5" t="s">
        <v>57</v>
      </c>
      <c r="J743" s="5" t="s">
        <v>1044</v>
      </c>
      <c r="K743" s="5" t="s">
        <v>697</v>
      </c>
      <c r="L743" s="5" t="s">
        <v>697</v>
      </c>
    </row>
    <row r="744">
      <c r="A744" s="1" t="s">
        <v>3021</v>
      </c>
      <c r="B744" s="5" t="s">
        <v>3022</v>
      </c>
      <c r="C744" s="5" t="s">
        <v>76</v>
      </c>
      <c r="D744" s="5" t="s">
        <v>994</v>
      </c>
      <c r="E744" s="36">
        <v>37291.0</v>
      </c>
      <c r="F744" s="5">
        <v>6.28121720113E12</v>
      </c>
      <c r="G744" s="1" t="s">
        <v>3023</v>
      </c>
      <c r="H744" s="5" t="s">
        <v>544</v>
      </c>
      <c r="I744" s="5" t="s">
        <v>57</v>
      </c>
      <c r="J744" s="5" t="s">
        <v>1044</v>
      </c>
      <c r="K744" s="5" t="s">
        <v>529</v>
      </c>
      <c r="L744" s="5" t="s">
        <v>240</v>
      </c>
    </row>
    <row r="745">
      <c r="A745" s="1" t="s">
        <v>3024</v>
      </c>
      <c r="B745" s="5" t="s">
        <v>3025</v>
      </c>
      <c r="C745" s="5" t="s">
        <v>53</v>
      </c>
      <c r="D745" s="5" t="s">
        <v>595</v>
      </c>
      <c r="E745" s="36">
        <v>35218.0</v>
      </c>
      <c r="F745" s="5">
        <v>6.281233000051E12</v>
      </c>
      <c r="G745" s="1" t="s">
        <v>3026</v>
      </c>
      <c r="H745" s="5" t="s">
        <v>481</v>
      </c>
      <c r="I745" s="5" t="s">
        <v>562</v>
      </c>
      <c r="J745" s="5" t="s">
        <v>506</v>
      </c>
      <c r="K745" s="5" t="s">
        <v>529</v>
      </c>
      <c r="L745" s="5" t="s">
        <v>3027</v>
      </c>
    </row>
    <row r="746">
      <c r="A746" s="1" t="s">
        <v>3028</v>
      </c>
      <c r="B746" s="5" t="s">
        <v>3029</v>
      </c>
      <c r="C746" s="5" t="s">
        <v>76</v>
      </c>
      <c r="D746" s="5" t="s">
        <v>1813</v>
      </c>
      <c r="E746" s="36">
        <v>35535.0</v>
      </c>
      <c r="F746" s="5">
        <v>6.285730881009E12</v>
      </c>
      <c r="G746" s="1" t="s">
        <v>3030</v>
      </c>
      <c r="H746" s="5" t="s">
        <v>438</v>
      </c>
      <c r="I746" s="5" t="s">
        <v>57</v>
      </c>
      <c r="J746" s="5" t="s">
        <v>506</v>
      </c>
      <c r="K746" s="5" t="s">
        <v>2335</v>
      </c>
      <c r="L746" s="5" t="s">
        <v>3031</v>
      </c>
    </row>
    <row r="747">
      <c r="A747" s="1" t="s">
        <v>3032</v>
      </c>
      <c r="B747" s="5" t="s">
        <v>3033</v>
      </c>
      <c r="C747" s="5" t="s">
        <v>53</v>
      </c>
      <c r="D747" s="5" t="s">
        <v>2472</v>
      </c>
      <c r="E747" s="36">
        <v>36206.0</v>
      </c>
      <c r="F747" s="5">
        <v>6.288230052371E12</v>
      </c>
      <c r="G747" s="1" t="s">
        <v>3034</v>
      </c>
      <c r="H747" s="5" t="s">
        <v>516</v>
      </c>
      <c r="I747" s="5" t="s">
        <v>562</v>
      </c>
      <c r="J747" s="5" t="s">
        <v>506</v>
      </c>
      <c r="K747" s="5" t="s">
        <v>529</v>
      </c>
      <c r="L747" s="5" t="s">
        <v>1421</v>
      </c>
    </row>
    <row r="748">
      <c r="A748" s="1" t="s">
        <v>3035</v>
      </c>
      <c r="B748" s="5" t="s">
        <v>3036</v>
      </c>
      <c r="C748" s="5" t="s">
        <v>53</v>
      </c>
      <c r="D748" s="5" t="s">
        <v>472</v>
      </c>
      <c r="E748" s="36">
        <v>36838.0</v>
      </c>
      <c r="F748" s="5">
        <v>6.281218524731E12</v>
      </c>
      <c r="G748" s="1" t="s">
        <v>3037</v>
      </c>
      <c r="H748" s="5" t="s">
        <v>236</v>
      </c>
      <c r="I748" s="5" t="s">
        <v>57</v>
      </c>
      <c r="J748" s="5" t="s">
        <v>620</v>
      </c>
      <c r="K748" s="5" t="s">
        <v>672</v>
      </c>
      <c r="L748" s="5" t="s">
        <v>3038</v>
      </c>
    </row>
    <row r="749">
      <c r="A749" s="1" t="s">
        <v>3039</v>
      </c>
      <c r="B749" s="5" t="s">
        <v>3040</v>
      </c>
      <c r="C749" s="5" t="s">
        <v>53</v>
      </c>
      <c r="D749" s="5" t="s">
        <v>387</v>
      </c>
      <c r="E749" s="36">
        <v>37693.0</v>
      </c>
      <c r="F749" s="5">
        <v>6.285707587455E12</v>
      </c>
      <c r="G749" s="1" t="s">
        <v>3041</v>
      </c>
      <c r="H749" s="5" t="s">
        <v>544</v>
      </c>
      <c r="I749" s="5" t="s">
        <v>57</v>
      </c>
      <c r="J749" s="5" t="s">
        <v>506</v>
      </c>
      <c r="K749" s="5" t="s">
        <v>848</v>
      </c>
      <c r="L749" s="5" t="s">
        <v>849</v>
      </c>
    </row>
    <row r="750">
      <c r="A750" s="1" t="s">
        <v>3042</v>
      </c>
      <c r="B750" s="5" t="s">
        <v>3043</v>
      </c>
      <c r="C750" s="5" t="s">
        <v>76</v>
      </c>
      <c r="D750" s="5" t="s">
        <v>533</v>
      </c>
      <c r="E750" s="36">
        <v>37445.0</v>
      </c>
      <c r="F750" s="5">
        <v>6.287716338346E12</v>
      </c>
      <c r="G750" s="1" t="s">
        <v>3044</v>
      </c>
      <c r="H750" s="5" t="s">
        <v>474</v>
      </c>
      <c r="I750" s="5" t="s">
        <v>57</v>
      </c>
      <c r="J750" s="5" t="s">
        <v>58</v>
      </c>
      <c r="K750" s="5" t="s">
        <v>539</v>
      </c>
      <c r="L750" s="5" t="s">
        <v>540</v>
      </c>
    </row>
    <row r="751">
      <c r="A751" s="1" t="s">
        <v>3045</v>
      </c>
      <c r="B751" s="5" t="s">
        <v>3046</v>
      </c>
      <c r="C751" s="5" t="s">
        <v>76</v>
      </c>
      <c r="D751" s="5" t="s">
        <v>271</v>
      </c>
      <c r="E751" s="36">
        <v>45823.0</v>
      </c>
      <c r="F751" s="5">
        <v>6.282229334285E12</v>
      </c>
      <c r="G751" s="1" t="s">
        <v>3047</v>
      </c>
      <c r="H751" s="5" t="s">
        <v>236</v>
      </c>
      <c r="I751" s="5" t="s">
        <v>57</v>
      </c>
      <c r="J751" s="5" t="s">
        <v>666</v>
      </c>
      <c r="K751" s="5" t="s">
        <v>697</v>
      </c>
      <c r="L751" s="5" t="s">
        <v>697</v>
      </c>
    </row>
    <row r="752">
      <c r="A752" s="1" t="s">
        <v>3048</v>
      </c>
      <c r="B752" s="5" t="s">
        <v>3049</v>
      </c>
      <c r="C752" s="5" t="s">
        <v>76</v>
      </c>
      <c r="D752" s="5" t="s">
        <v>537</v>
      </c>
      <c r="E752" s="36">
        <v>36662.0</v>
      </c>
      <c r="F752" s="5">
        <v>6.285714858815E12</v>
      </c>
      <c r="G752" s="1" t="s">
        <v>3050</v>
      </c>
      <c r="H752" s="5" t="s">
        <v>236</v>
      </c>
      <c r="I752" s="5" t="s">
        <v>57</v>
      </c>
      <c r="J752" s="5" t="s">
        <v>506</v>
      </c>
      <c r="K752" s="5" t="s">
        <v>539</v>
      </c>
      <c r="L752" s="5" t="s">
        <v>799</v>
      </c>
    </row>
    <row r="753">
      <c r="A753" s="1" t="s">
        <v>3051</v>
      </c>
      <c r="B753" s="5" t="s">
        <v>3052</v>
      </c>
      <c r="C753" s="5" t="s">
        <v>53</v>
      </c>
      <c r="D753" s="5" t="s">
        <v>3053</v>
      </c>
      <c r="E753" s="36">
        <v>37438.0</v>
      </c>
      <c r="F753" s="5">
        <v>6.281243492724E12</v>
      </c>
      <c r="G753" s="1" t="s">
        <v>3054</v>
      </c>
      <c r="H753" s="5" t="s">
        <v>474</v>
      </c>
      <c r="I753" s="5" t="s">
        <v>57</v>
      </c>
      <c r="J753" s="5" t="s">
        <v>1002</v>
      </c>
      <c r="K753" s="5" t="s">
        <v>672</v>
      </c>
      <c r="L753" s="5" t="s">
        <v>1484</v>
      </c>
    </row>
    <row r="754">
      <c r="A754" s="1" t="s">
        <v>3055</v>
      </c>
      <c r="B754" s="5" t="s">
        <v>3056</v>
      </c>
      <c r="C754" s="5" t="s">
        <v>76</v>
      </c>
      <c r="D754" s="5" t="s">
        <v>950</v>
      </c>
      <c r="E754" s="36">
        <v>35240.0</v>
      </c>
      <c r="F754" s="5">
        <v>6.289650000512E12</v>
      </c>
      <c r="G754" s="1" t="s">
        <v>3057</v>
      </c>
      <c r="H754" s="5" t="s">
        <v>481</v>
      </c>
      <c r="I754" s="5" t="s">
        <v>57</v>
      </c>
      <c r="J754" s="5" t="s">
        <v>506</v>
      </c>
      <c r="K754" s="5" t="s">
        <v>672</v>
      </c>
      <c r="L754" s="5" t="s">
        <v>3058</v>
      </c>
    </row>
    <row r="755">
      <c r="A755" s="1" t="s">
        <v>3059</v>
      </c>
      <c r="B755" s="5" t="s">
        <v>3060</v>
      </c>
      <c r="C755" s="5" t="s">
        <v>76</v>
      </c>
      <c r="D755" s="5" t="s">
        <v>869</v>
      </c>
      <c r="E755" s="36">
        <v>37151.0</v>
      </c>
      <c r="F755" s="5">
        <v>6.282257500308E12</v>
      </c>
      <c r="G755" s="1" t="s">
        <v>3061</v>
      </c>
      <c r="H755" s="5" t="s">
        <v>474</v>
      </c>
      <c r="I755" s="5" t="s">
        <v>57</v>
      </c>
      <c r="J755" s="5" t="s">
        <v>1703</v>
      </c>
      <c r="K755" s="5" t="s">
        <v>672</v>
      </c>
      <c r="L755" s="5" t="s">
        <v>3062</v>
      </c>
    </row>
    <row r="756">
      <c r="A756" s="1" t="s">
        <v>3063</v>
      </c>
      <c r="B756" s="5" t="s">
        <v>3064</v>
      </c>
      <c r="C756" s="5" t="s">
        <v>76</v>
      </c>
      <c r="D756" s="5" t="s">
        <v>3065</v>
      </c>
      <c r="E756" s="36">
        <v>37355.0</v>
      </c>
      <c r="F756" s="5">
        <v>6.285900273264E12</v>
      </c>
      <c r="G756" s="1" t="s">
        <v>3066</v>
      </c>
      <c r="H756" s="5" t="s">
        <v>544</v>
      </c>
      <c r="I756" s="5" t="s">
        <v>562</v>
      </c>
      <c r="J756" s="5" t="s">
        <v>620</v>
      </c>
      <c r="K756" s="5" t="s">
        <v>529</v>
      </c>
      <c r="L756" s="5" t="s">
        <v>564</v>
      </c>
    </row>
    <row r="757">
      <c r="A757" s="1" t="s">
        <v>3067</v>
      </c>
      <c r="B757" s="5" t="s">
        <v>3068</v>
      </c>
      <c r="C757" s="5" t="s">
        <v>53</v>
      </c>
      <c r="D757" s="5" t="s">
        <v>618</v>
      </c>
      <c r="E757" s="36">
        <v>37849.0</v>
      </c>
      <c r="F757" s="5">
        <v>6.285974780068E12</v>
      </c>
      <c r="G757" s="1" t="s">
        <v>3069</v>
      </c>
      <c r="H757" s="5" t="s">
        <v>544</v>
      </c>
      <c r="I757" s="5" t="s">
        <v>562</v>
      </c>
      <c r="J757" s="5" t="s">
        <v>620</v>
      </c>
      <c r="K757" s="5" t="s">
        <v>529</v>
      </c>
      <c r="L757" s="5" t="s">
        <v>677</v>
      </c>
    </row>
    <row r="758">
      <c r="A758" s="1" t="s">
        <v>3070</v>
      </c>
      <c r="B758" s="5" t="s">
        <v>3071</v>
      </c>
      <c r="C758" s="5" t="s">
        <v>53</v>
      </c>
      <c r="D758" s="5" t="s">
        <v>633</v>
      </c>
      <c r="E758" s="36">
        <v>37892.0</v>
      </c>
      <c r="F758" s="5">
        <v>6.285600289141E12</v>
      </c>
      <c r="G758" s="1" t="s">
        <v>3072</v>
      </c>
      <c r="H758" s="5" t="s">
        <v>544</v>
      </c>
      <c r="I758" s="5" t="s">
        <v>57</v>
      </c>
      <c r="J758" s="5" t="s">
        <v>772</v>
      </c>
      <c r="K758" s="5" t="s">
        <v>842</v>
      </c>
      <c r="L758" s="5" t="s">
        <v>3073</v>
      </c>
    </row>
    <row r="759">
      <c r="A759" s="1" t="s">
        <v>3074</v>
      </c>
      <c r="B759" s="5" t="s">
        <v>3075</v>
      </c>
      <c r="C759" s="5" t="s">
        <v>76</v>
      </c>
      <c r="D759" s="5" t="s">
        <v>533</v>
      </c>
      <c r="E759" s="36">
        <v>35431.0</v>
      </c>
      <c r="F759" s="5">
        <v>6.283125699727E12</v>
      </c>
      <c r="G759" s="1" t="s">
        <v>3076</v>
      </c>
      <c r="H759" s="5" t="s">
        <v>481</v>
      </c>
      <c r="I759" s="5" t="s">
        <v>57</v>
      </c>
      <c r="J759" s="5" t="s">
        <v>58</v>
      </c>
      <c r="K759" s="5" t="s">
        <v>910</v>
      </c>
      <c r="L759" s="5" t="s">
        <v>1747</v>
      </c>
    </row>
    <row r="760">
      <c r="A760" s="1" t="s">
        <v>3077</v>
      </c>
      <c r="B760" s="5" t="s">
        <v>3078</v>
      </c>
      <c r="C760" s="5" t="s">
        <v>53</v>
      </c>
      <c r="D760" s="5" t="s">
        <v>1591</v>
      </c>
      <c r="E760" s="36">
        <v>33186.0</v>
      </c>
      <c r="F760" s="5">
        <v>6.28112518486E11</v>
      </c>
      <c r="G760" s="1" t="s">
        <v>3079</v>
      </c>
      <c r="H760" s="5" t="s">
        <v>499</v>
      </c>
      <c r="I760" s="5" t="s">
        <v>57</v>
      </c>
      <c r="J760" s="5" t="s">
        <v>506</v>
      </c>
      <c r="K760" s="5" t="s">
        <v>1838</v>
      </c>
      <c r="L760" s="5" t="s">
        <v>799</v>
      </c>
    </row>
    <row r="761">
      <c r="A761" s="1" t="s">
        <v>3080</v>
      </c>
      <c r="B761" s="5" t="s">
        <v>3081</v>
      </c>
      <c r="C761" s="5" t="s">
        <v>53</v>
      </c>
      <c r="D761" s="5" t="s">
        <v>2895</v>
      </c>
      <c r="E761" s="36">
        <v>37232.0</v>
      </c>
      <c r="F761" s="5">
        <v>6.289602100227E12</v>
      </c>
      <c r="G761" s="1" t="s">
        <v>3082</v>
      </c>
      <c r="H761" s="5" t="s">
        <v>293</v>
      </c>
      <c r="I761" s="5" t="s">
        <v>57</v>
      </c>
      <c r="J761" s="5" t="s">
        <v>58</v>
      </c>
      <c r="K761" s="5" t="s">
        <v>910</v>
      </c>
      <c r="L761" s="5" t="s">
        <v>910</v>
      </c>
    </row>
    <row r="762">
      <c r="A762" s="1" t="s">
        <v>3083</v>
      </c>
      <c r="B762" s="5" t="s">
        <v>3084</v>
      </c>
      <c r="C762" s="5" t="s">
        <v>53</v>
      </c>
      <c r="D762" s="5" t="s">
        <v>497</v>
      </c>
      <c r="E762" s="36">
        <v>37832.0</v>
      </c>
      <c r="F762" s="5">
        <v>6.289528111719E12</v>
      </c>
      <c r="G762" s="1" t="s">
        <v>3085</v>
      </c>
      <c r="H762" s="5" t="s">
        <v>544</v>
      </c>
      <c r="I762" s="5" t="s">
        <v>57</v>
      </c>
      <c r="J762" s="5" t="s">
        <v>847</v>
      </c>
      <c r="K762" s="5" t="s">
        <v>697</v>
      </c>
      <c r="L762" s="5" t="s">
        <v>697</v>
      </c>
    </row>
    <row r="763">
      <c r="A763" s="1" t="s">
        <v>3086</v>
      </c>
      <c r="B763" s="5" t="s">
        <v>3087</v>
      </c>
      <c r="C763" s="5" t="s">
        <v>76</v>
      </c>
      <c r="D763" s="5" t="s">
        <v>271</v>
      </c>
      <c r="E763" s="36">
        <v>34602.0</v>
      </c>
      <c r="F763" s="5">
        <v>6.283834528032E12</v>
      </c>
      <c r="G763" s="1" t="s">
        <v>3088</v>
      </c>
      <c r="H763" s="5" t="s">
        <v>661</v>
      </c>
      <c r="I763" s="5" t="s">
        <v>562</v>
      </c>
      <c r="J763" s="5" t="s">
        <v>563</v>
      </c>
      <c r="K763" s="5" t="s">
        <v>799</v>
      </c>
      <c r="L763" s="5" t="s">
        <v>3089</v>
      </c>
    </row>
    <row r="764">
      <c r="A764" s="1" t="s">
        <v>3090</v>
      </c>
      <c r="B764" s="5" t="s">
        <v>3091</v>
      </c>
      <c r="C764" s="5" t="s">
        <v>76</v>
      </c>
      <c r="D764" s="5" t="s">
        <v>119</v>
      </c>
      <c r="E764" s="36">
        <v>35817.0</v>
      </c>
      <c r="F764" s="5">
        <v>6.28133342401E12</v>
      </c>
      <c r="G764" s="1" t="s">
        <v>3092</v>
      </c>
      <c r="H764" s="5" t="s">
        <v>438</v>
      </c>
      <c r="I764" s="5" t="s">
        <v>57</v>
      </c>
      <c r="J764" s="5" t="s">
        <v>1044</v>
      </c>
      <c r="K764" s="5" t="s">
        <v>842</v>
      </c>
      <c r="L764" s="5" t="s">
        <v>799</v>
      </c>
    </row>
    <row r="765">
      <c r="A765" s="1" t="s">
        <v>3093</v>
      </c>
      <c r="B765" s="5" t="s">
        <v>3094</v>
      </c>
      <c r="C765" s="5" t="s">
        <v>76</v>
      </c>
      <c r="D765" s="5" t="s">
        <v>641</v>
      </c>
      <c r="E765" s="36">
        <v>33640.0</v>
      </c>
      <c r="F765" s="5">
        <v>6.282243951924E12</v>
      </c>
      <c r="G765" s="1" t="s">
        <v>3095</v>
      </c>
      <c r="H765" s="5" t="s">
        <v>499</v>
      </c>
      <c r="I765" s="5" t="s">
        <v>57</v>
      </c>
      <c r="J765" s="5" t="s">
        <v>643</v>
      </c>
      <c r="K765" s="5" t="s">
        <v>539</v>
      </c>
      <c r="L765" s="5" t="s">
        <v>540</v>
      </c>
    </row>
    <row r="766">
      <c r="A766" s="1" t="s">
        <v>3096</v>
      </c>
      <c r="B766" s="5" t="s">
        <v>3097</v>
      </c>
      <c r="C766" s="5" t="s">
        <v>53</v>
      </c>
      <c r="D766" s="5" t="s">
        <v>628</v>
      </c>
      <c r="E766" s="36">
        <v>37840.0</v>
      </c>
      <c r="F766" s="5">
        <v>6.282274040838E12</v>
      </c>
      <c r="G766" s="1" t="s">
        <v>3098</v>
      </c>
      <c r="H766" s="5" t="s">
        <v>544</v>
      </c>
      <c r="I766" s="5" t="s">
        <v>57</v>
      </c>
      <c r="J766" s="5" t="s">
        <v>772</v>
      </c>
      <c r="K766" s="5" t="s">
        <v>1138</v>
      </c>
      <c r="L766" s="5" t="s">
        <v>1118</v>
      </c>
    </row>
    <row r="767">
      <c r="A767" s="1" t="s">
        <v>3099</v>
      </c>
      <c r="B767" s="5" t="s">
        <v>3100</v>
      </c>
      <c r="C767" s="5" t="s">
        <v>53</v>
      </c>
      <c r="D767" s="5" t="s">
        <v>994</v>
      </c>
      <c r="E767" s="36">
        <v>37947.0</v>
      </c>
      <c r="F767" s="5">
        <v>6.2895612450911E13</v>
      </c>
      <c r="G767" s="1" t="s">
        <v>3101</v>
      </c>
      <c r="H767" s="5" t="s">
        <v>544</v>
      </c>
      <c r="I767" s="5" t="s">
        <v>57</v>
      </c>
      <c r="J767" s="5" t="s">
        <v>1962</v>
      </c>
      <c r="K767" s="5" t="s">
        <v>3102</v>
      </c>
      <c r="L767" s="5" t="s">
        <v>1964</v>
      </c>
    </row>
    <row r="768">
      <c r="A768" s="1" t="s">
        <v>3103</v>
      </c>
      <c r="B768" s="5" t="s">
        <v>3104</v>
      </c>
      <c r="C768" s="5" t="s">
        <v>53</v>
      </c>
      <c r="D768" s="5" t="s">
        <v>1610</v>
      </c>
      <c r="E768" s="36">
        <v>30984.0</v>
      </c>
      <c r="F768" s="5">
        <v>6.281394557565E12</v>
      </c>
      <c r="G768" s="1" t="s">
        <v>3105</v>
      </c>
      <c r="H768" s="5" t="s">
        <v>56</v>
      </c>
      <c r="I768" s="5" t="s">
        <v>57</v>
      </c>
      <c r="J768" s="5" t="s">
        <v>2516</v>
      </c>
      <c r="K768" s="5" t="s">
        <v>1449</v>
      </c>
      <c r="L768" s="5" t="s">
        <v>2521</v>
      </c>
    </row>
    <row r="769">
      <c r="A769" s="1" t="s">
        <v>3106</v>
      </c>
      <c r="B769" s="5" t="s">
        <v>3107</v>
      </c>
      <c r="C769" s="5" t="s">
        <v>53</v>
      </c>
      <c r="D769" s="5" t="s">
        <v>3108</v>
      </c>
      <c r="E769" s="36">
        <v>36452.0</v>
      </c>
      <c r="F769" s="5">
        <v>6.282228543233E12</v>
      </c>
      <c r="G769" s="1" t="s">
        <v>3109</v>
      </c>
      <c r="H769" s="5" t="s">
        <v>236</v>
      </c>
      <c r="I769" s="5" t="s">
        <v>57</v>
      </c>
      <c r="J769" s="5" t="s">
        <v>1002</v>
      </c>
      <c r="K769" s="5" t="s">
        <v>3110</v>
      </c>
      <c r="L769" s="5" t="s">
        <v>3111</v>
      </c>
    </row>
    <row r="770">
      <c r="A770" s="1" t="s">
        <v>3112</v>
      </c>
      <c r="B770" s="5" t="s">
        <v>3113</v>
      </c>
      <c r="C770" s="5" t="s">
        <v>76</v>
      </c>
      <c r="D770" s="5" t="s">
        <v>271</v>
      </c>
      <c r="E770" s="36">
        <v>37290.0</v>
      </c>
      <c r="F770" s="5">
        <v>6.285156556492E12</v>
      </c>
      <c r="G770" s="1" t="s">
        <v>3114</v>
      </c>
      <c r="H770" s="5" t="s">
        <v>544</v>
      </c>
      <c r="I770" s="5" t="s">
        <v>57</v>
      </c>
      <c r="J770" s="5" t="s">
        <v>813</v>
      </c>
      <c r="K770" s="5" t="s">
        <v>539</v>
      </c>
      <c r="L770" s="5" t="s">
        <v>3115</v>
      </c>
    </row>
    <row r="771">
      <c r="A771" s="1" t="s">
        <v>3116</v>
      </c>
      <c r="B771" s="5" t="s">
        <v>3117</v>
      </c>
      <c r="C771" s="5" t="s">
        <v>76</v>
      </c>
      <c r="D771" s="5" t="s">
        <v>3118</v>
      </c>
      <c r="E771" s="36">
        <v>37334.0</v>
      </c>
      <c r="F771" s="5">
        <v>6.289510747886E12</v>
      </c>
      <c r="G771" s="1" t="s">
        <v>3119</v>
      </c>
      <c r="H771" s="5" t="s">
        <v>474</v>
      </c>
      <c r="I771" s="5" t="s">
        <v>57</v>
      </c>
      <c r="J771" s="5" t="s">
        <v>294</v>
      </c>
      <c r="K771" s="5" t="s">
        <v>3120</v>
      </c>
      <c r="L771" s="5" t="s">
        <v>577</v>
      </c>
    </row>
    <row r="772">
      <c r="A772" s="1" t="s">
        <v>3121</v>
      </c>
      <c r="B772" s="5" t="s">
        <v>3122</v>
      </c>
      <c r="C772" s="5" t="s">
        <v>53</v>
      </c>
      <c r="D772" s="5" t="s">
        <v>770</v>
      </c>
      <c r="E772" s="36">
        <v>37865.0</v>
      </c>
      <c r="F772" s="5">
        <v>6.282340202017E12</v>
      </c>
      <c r="G772" s="1" t="s">
        <v>3123</v>
      </c>
      <c r="H772" s="5" t="s">
        <v>544</v>
      </c>
      <c r="I772" s="5" t="s">
        <v>57</v>
      </c>
      <c r="J772" s="5" t="s">
        <v>787</v>
      </c>
      <c r="K772" s="5" t="s">
        <v>529</v>
      </c>
      <c r="L772" s="5" t="s">
        <v>530</v>
      </c>
    </row>
    <row r="773">
      <c r="A773" s="1" t="s">
        <v>3124</v>
      </c>
      <c r="B773" s="5" t="s">
        <v>3125</v>
      </c>
      <c r="C773" s="5" t="s">
        <v>76</v>
      </c>
      <c r="D773" s="5" t="s">
        <v>373</v>
      </c>
      <c r="E773" s="36">
        <v>33252.0</v>
      </c>
      <c r="F773" s="5">
        <v>6.281237379612E12</v>
      </c>
      <c r="G773" s="1" t="s">
        <v>3126</v>
      </c>
      <c r="H773" s="5" t="s">
        <v>1032</v>
      </c>
      <c r="I773" s="5" t="s">
        <v>57</v>
      </c>
      <c r="J773" s="5" t="s">
        <v>517</v>
      </c>
      <c r="K773" s="5" t="s">
        <v>1196</v>
      </c>
      <c r="L773" s="5" t="s">
        <v>2990</v>
      </c>
    </row>
    <row r="774">
      <c r="A774" s="1" t="s">
        <v>3127</v>
      </c>
      <c r="B774" s="5" t="s">
        <v>3128</v>
      </c>
      <c r="C774" s="5" t="s">
        <v>53</v>
      </c>
      <c r="D774" s="5" t="s">
        <v>3129</v>
      </c>
      <c r="E774" s="36">
        <v>37844.0</v>
      </c>
      <c r="F774" s="5">
        <v>6.2895809222272E13</v>
      </c>
      <c r="G774" s="1" t="s">
        <v>3130</v>
      </c>
      <c r="H774" s="5" t="s">
        <v>544</v>
      </c>
      <c r="I774" s="5" t="s">
        <v>562</v>
      </c>
      <c r="J774" s="5" t="s">
        <v>620</v>
      </c>
      <c r="K774" s="5" t="s">
        <v>539</v>
      </c>
      <c r="L774" s="5" t="s">
        <v>799</v>
      </c>
    </row>
    <row r="775">
      <c r="A775" s="1" t="s">
        <v>3131</v>
      </c>
      <c r="B775" s="5" t="s">
        <v>3132</v>
      </c>
      <c r="C775" s="5" t="s">
        <v>76</v>
      </c>
      <c r="D775" s="5" t="s">
        <v>994</v>
      </c>
      <c r="E775" s="36">
        <v>33285.0</v>
      </c>
      <c r="F775" s="5">
        <v>6.285234905099E12</v>
      </c>
      <c r="G775" s="1" t="s">
        <v>3133</v>
      </c>
      <c r="H775" s="5" t="s">
        <v>499</v>
      </c>
      <c r="I775" s="5" t="s">
        <v>57</v>
      </c>
      <c r="J775" s="5" t="s">
        <v>777</v>
      </c>
      <c r="K775" s="5" t="s">
        <v>500</v>
      </c>
      <c r="L775" s="5" t="s">
        <v>3134</v>
      </c>
    </row>
    <row r="776">
      <c r="A776" s="1" t="s">
        <v>3135</v>
      </c>
      <c r="B776" s="5" t="s">
        <v>3136</v>
      </c>
      <c r="C776" s="5" t="s">
        <v>53</v>
      </c>
      <c r="D776" s="5" t="s">
        <v>3137</v>
      </c>
      <c r="E776" s="36">
        <v>37303.0</v>
      </c>
      <c r="F776" s="5">
        <v>6.287884466365E12</v>
      </c>
      <c r="G776" s="1" t="s">
        <v>3138</v>
      </c>
      <c r="H776" s="5" t="s">
        <v>474</v>
      </c>
      <c r="I776" s="5" t="s">
        <v>57</v>
      </c>
      <c r="J776" s="5" t="s">
        <v>511</v>
      </c>
      <c r="K776" s="5" t="s">
        <v>3139</v>
      </c>
      <c r="L776" s="5" t="s">
        <v>3140</v>
      </c>
    </row>
    <row r="777">
      <c r="A777" s="1" t="s">
        <v>3141</v>
      </c>
      <c r="B777" s="5" t="s">
        <v>3142</v>
      </c>
      <c r="C777" s="5" t="s">
        <v>76</v>
      </c>
      <c r="D777" s="5" t="s">
        <v>3143</v>
      </c>
      <c r="E777" s="36">
        <v>33874.0</v>
      </c>
      <c r="F777" s="5">
        <v>6.289627925778E12</v>
      </c>
      <c r="G777" s="1" t="s">
        <v>3144</v>
      </c>
      <c r="H777" s="5" t="s">
        <v>575</v>
      </c>
      <c r="I777" s="5" t="s">
        <v>57</v>
      </c>
      <c r="J777" s="5" t="s">
        <v>854</v>
      </c>
      <c r="K777" s="5" t="s">
        <v>3145</v>
      </c>
      <c r="L777" s="5" t="s">
        <v>3146</v>
      </c>
    </row>
    <row r="778">
      <c r="A778" s="1" t="s">
        <v>3147</v>
      </c>
      <c r="B778" s="5" t="s">
        <v>3148</v>
      </c>
      <c r="C778" s="5" t="s">
        <v>76</v>
      </c>
      <c r="D778" s="5" t="s">
        <v>3149</v>
      </c>
      <c r="E778" s="36">
        <v>37599.0</v>
      </c>
      <c r="F778" s="5">
        <v>6.289635877852E12</v>
      </c>
      <c r="G778" s="1" t="s">
        <v>3150</v>
      </c>
      <c r="H778" s="5" t="s">
        <v>544</v>
      </c>
      <c r="I778" s="5" t="s">
        <v>57</v>
      </c>
      <c r="J778" s="5" t="s">
        <v>787</v>
      </c>
      <c r="K778" s="5" t="s">
        <v>3151</v>
      </c>
      <c r="L778" s="5" t="s">
        <v>3152</v>
      </c>
    </row>
    <row r="779">
      <c r="A779" s="1" t="s">
        <v>3153</v>
      </c>
      <c r="B779" s="5" t="s">
        <v>3154</v>
      </c>
      <c r="C779" s="5" t="s">
        <v>53</v>
      </c>
      <c r="D779" s="5" t="s">
        <v>968</v>
      </c>
      <c r="E779" s="36">
        <v>32961.0</v>
      </c>
      <c r="F779" s="5">
        <v>6.28135797447E12</v>
      </c>
      <c r="G779" s="1" t="s">
        <v>3155</v>
      </c>
      <c r="H779" s="5" t="s">
        <v>499</v>
      </c>
      <c r="I779" s="5" t="s">
        <v>57</v>
      </c>
      <c r="J779" s="5" t="s">
        <v>506</v>
      </c>
      <c r="K779" s="5" t="s">
        <v>523</v>
      </c>
      <c r="L779" s="5" t="s">
        <v>732</v>
      </c>
    </row>
    <row r="780">
      <c r="A780" s="1" t="s">
        <v>3156</v>
      </c>
      <c r="B780" s="5" t="s">
        <v>3157</v>
      </c>
      <c r="C780" s="5" t="s">
        <v>76</v>
      </c>
      <c r="D780" s="5" t="s">
        <v>1762</v>
      </c>
      <c r="E780" s="36">
        <v>33582.0</v>
      </c>
      <c r="F780" s="5">
        <v>6.285256910932E12</v>
      </c>
      <c r="G780" s="1" t="s">
        <v>3158</v>
      </c>
      <c r="H780" s="5" t="s">
        <v>499</v>
      </c>
      <c r="I780" s="5" t="s">
        <v>57</v>
      </c>
      <c r="J780" s="5" t="s">
        <v>2780</v>
      </c>
      <c r="K780" s="5" t="s">
        <v>3159</v>
      </c>
      <c r="L780" s="5" t="s">
        <v>1036</v>
      </c>
    </row>
    <row r="781">
      <c r="A781" s="1" t="s">
        <v>3160</v>
      </c>
      <c r="B781" s="5" t="s">
        <v>3161</v>
      </c>
      <c r="C781" s="5" t="s">
        <v>76</v>
      </c>
      <c r="D781" s="5" t="s">
        <v>504</v>
      </c>
      <c r="E781" s="36">
        <v>32772.0</v>
      </c>
      <c r="F781" s="5">
        <v>6.285256392146E12</v>
      </c>
      <c r="G781" s="1" t="s">
        <v>3162</v>
      </c>
      <c r="H781" s="5" t="s">
        <v>1032</v>
      </c>
      <c r="I781" s="5" t="s">
        <v>57</v>
      </c>
      <c r="J781" s="5" t="s">
        <v>2780</v>
      </c>
      <c r="K781" s="5" t="s">
        <v>3159</v>
      </c>
      <c r="L781" s="5" t="s">
        <v>1036</v>
      </c>
    </row>
    <row r="782">
      <c r="A782" s="1" t="s">
        <v>3163</v>
      </c>
      <c r="B782" s="5" t="s">
        <v>3164</v>
      </c>
      <c r="C782" s="5" t="s">
        <v>53</v>
      </c>
      <c r="D782" s="5" t="s">
        <v>3165</v>
      </c>
      <c r="E782" s="36">
        <v>37212.0</v>
      </c>
      <c r="F782" s="5">
        <v>6.285656786003E12</v>
      </c>
      <c r="G782" s="1" t="s">
        <v>3166</v>
      </c>
      <c r="H782" s="5" t="s">
        <v>293</v>
      </c>
      <c r="I782" s="5" t="s">
        <v>57</v>
      </c>
      <c r="J782" s="5" t="s">
        <v>2780</v>
      </c>
      <c r="K782" s="5" t="s">
        <v>910</v>
      </c>
      <c r="L782" s="5" t="s">
        <v>910</v>
      </c>
    </row>
    <row r="783">
      <c r="A783" s="1" t="s">
        <v>3167</v>
      </c>
      <c r="B783" s="5" t="s">
        <v>3168</v>
      </c>
      <c r="C783" s="5" t="s">
        <v>76</v>
      </c>
      <c r="D783" s="5" t="s">
        <v>3169</v>
      </c>
      <c r="E783" s="36">
        <v>35578.0</v>
      </c>
      <c r="F783" s="5">
        <v>6.285144011054E12</v>
      </c>
      <c r="G783" s="1" t="s">
        <v>3170</v>
      </c>
      <c r="H783" s="5" t="s">
        <v>308</v>
      </c>
      <c r="I783" s="5" t="s">
        <v>57</v>
      </c>
      <c r="J783" s="5" t="s">
        <v>2780</v>
      </c>
      <c r="K783" s="5" t="s">
        <v>672</v>
      </c>
      <c r="L783" s="5" t="s">
        <v>1036</v>
      </c>
    </row>
    <row r="784">
      <c r="A784" s="1" t="s">
        <v>3171</v>
      </c>
      <c r="B784" s="5" t="s">
        <v>3172</v>
      </c>
      <c r="C784" s="5" t="s">
        <v>53</v>
      </c>
      <c r="D784" s="5" t="s">
        <v>770</v>
      </c>
      <c r="E784" s="36">
        <v>37731.0</v>
      </c>
      <c r="F784" s="5">
        <v>6.287701686369E12</v>
      </c>
      <c r="G784" s="1" t="s">
        <v>3173</v>
      </c>
      <c r="H784" s="5" t="s">
        <v>544</v>
      </c>
      <c r="I784" s="5" t="s">
        <v>57</v>
      </c>
      <c r="J784" s="5" t="s">
        <v>2775</v>
      </c>
      <c r="K784" s="5" t="s">
        <v>529</v>
      </c>
      <c r="L784" s="5" t="s">
        <v>677</v>
      </c>
    </row>
    <row r="785">
      <c r="A785" s="1" t="s">
        <v>3174</v>
      </c>
      <c r="B785" s="5" t="s">
        <v>3175</v>
      </c>
      <c r="C785" s="5" t="s">
        <v>76</v>
      </c>
      <c r="D785" s="5" t="s">
        <v>533</v>
      </c>
      <c r="E785" s="36">
        <v>36360.0</v>
      </c>
      <c r="F785" s="5">
        <v>6.285163028925E12</v>
      </c>
      <c r="G785" s="1" t="s">
        <v>3176</v>
      </c>
      <c r="H785" s="5" t="s">
        <v>516</v>
      </c>
      <c r="I785" s="5" t="s">
        <v>57</v>
      </c>
      <c r="J785" s="5" t="s">
        <v>58</v>
      </c>
      <c r="K785" s="5" t="s">
        <v>529</v>
      </c>
      <c r="L785" s="5" t="s">
        <v>530</v>
      </c>
    </row>
    <row r="786">
      <c r="A786" s="1" t="s">
        <v>3177</v>
      </c>
      <c r="B786" s="5" t="s">
        <v>3178</v>
      </c>
      <c r="C786" s="5" t="s">
        <v>76</v>
      </c>
      <c r="D786" s="5" t="s">
        <v>1039</v>
      </c>
      <c r="E786" s="36">
        <v>36388.0</v>
      </c>
      <c r="F786" s="5">
        <v>6.281390356399E12</v>
      </c>
      <c r="G786" s="1" t="s">
        <v>3179</v>
      </c>
      <c r="H786" s="5" t="s">
        <v>236</v>
      </c>
      <c r="I786" s="5" t="s">
        <v>57</v>
      </c>
      <c r="J786" s="5" t="s">
        <v>511</v>
      </c>
      <c r="K786" s="5" t="s">
        <v>1426</v>
      </c>
      <c r="L786" s="5" t="s">
        <v>3180</v>
      </c>
    </row>
    <row r="787">
      <c r="A787" s="1" t="s">
        <v>3181</v>
      </c>
      <c r="B787" s="5" t="s">
        <v>3182</v>
      </c>
      <c r="C787" s="5" t="s">
        <v>53</v>
      </c>
      <c r="D787" s="5" t="s">
        <v>533</v>
      </c>
      <c r="E787" s="36">
        <v>37299.0</v>
      </c>
      <c r="F787" s="5">
        <v>6.289661159775E12</v>
      </c>
      <c r="G787" s="1" t="s">
        <v>3183</v>
      </c>
      <c r="H787" s="5" t="s">
        <v>474</v>
      </c>
      <c r="I787" s="5" t="s">
        <v>57</v>
      </c>
      <c r="J787" s="5" t="s">
        <v>58</v>
      </c>
      <c r="K787" s="5" t="s">
        <v>910</v>
      </c>
      <c r="L787" s="5" t="s">
        <v>1747</v>
      </c>
    </row>
    <row r="788">
      <c r="A788" s="1" t="s">
        <v>3184</v>
      </c>
      <c r="B788" s="5" t="s">
        <v>3185</v>
      </c>
      <c r="C788" s="5" t="s">
        <v>53</v>
      </c>
      <c r="D788" s="5" t="s">
        <v>2770</v>
      </c>
      <c r="E788" s="36">
        <v>37382.0</v>
      </c>
      <c r="F788" s="5">
        <v>6.281294887996E12</v>
      </c>
      <c r="G788" s="1" t="s">
        <v>3186</v>
      </c>
      <c r="H788" s="5" t="s">
        <v>544</v>
      </c>
      <c r="I788" s="5" t="s">
        <v>57</v>
      </c>
      <c r="J788" s="5" t="s">
        <v>506</v>
      </c>
      <c r="K788" s="5" t="s">
        <v>1747</v>
      </c>
      <c r="L788" s="5" t="s">
        <v>1747</v>
      </c>
    </row>
    <row r="789">
      <c r="A789" s="1" t="s">
        <v>3187</v>
      </c>
      <c r="B789" s="5" t="s">
        <v>3188</v>
      </c>
      <c r="C789" s="5" t="s">
        <v>76</v>
      </c>
      <c r="D789" s="5" t="s">
        <v>3189</v>
      </c>
      <c r="E789" s="36">
        <v>37926.0</v>
      </c>
      <c r="F789" s="5">
        <v>6.28213404477E12</v>
      </c>
      <c r="G789" s="1" t="s">
        <v>3190</v>
      </c>
      <c r="H789" s="5" t="s">
        <v>544</v>
      </c>
      <c r="I789" s="5" t="s">
        <v>57</v>
      </c>
      <c r="J789" s="5" t="s">
        <v>1875</v>
      </c>
      <c r="K789" s="5" t="s">
        <v>1642</v>
      </c>
      <c r="L789" s="5" t="s">
        <v>799</v>
      </c>
    </row>
    <row r="790">
      <c r="A790" s="1" t="s">
        <v>3191</v>
      </c>
      <c r="B790" s="5" t="s">
        <v>3192</v>
      </c>
      <c r="C790" s="5" t="s">
        <v>53</v>
      </c>
      <c r="D790" s="5" t="s">
        <v>271</v>
      </c>
      <c r="E790" s="36">
        <v>31337.0</v>
      </c>
      <c r="F790" s="5">
        <v>6.285956345371E12</v>
      </c>
      <c r="G790" s="1" t="s">
        <v>3193</v>
      </c>
      <c r="H790" s="5" t="s">
        <v>56</v>
      </c>
      <c r="I790" s="5" t="s">
        <v>57</v>
      </c>
      <c r="J790" s="5" t="s">
        <v>267</v>
      </c>
      <c r="K790" s="5" t="s">
        <v>3194</v>
      </c>
      <c r="L790" s="5" t="s">
        <v>3195</v>
      </c>
    </row>
    <row r="791">
      <c r="A791" s="1" t="s">
        <v>3196</v>
      </c>
      <c r="B791" s="5" t="s">
        <v>3197</v>
      </c>
      <c r="C791" s="5" t="s">
        <v>76</v>
      </c>
      <c r="D791" s="5" t="s">
        <v>637</v>
      </c>
      <c r="E791" s="36">
        <v>37788.0</v>
      </c>
      <c r="F791" s="5">
        <v>6.282257902587E12</v>
      </c>
      <c r="G791" s="1" t="s">
        <v>3198</v>
      </c>
      <c r="H791" s="5" t="s">
        <v>544</v>
      </c>
      <c r="I791" s="5" t="s">
        <v>57</v>
      </c>
      <c r="J791" s="5" t="s">
        <v>996</v>
      </c>
      <c r="K791" s="5" t="s">
        <v>3199</v>
      </c>
      <c r="L791" s="5" t="s">
        <v>592</v>
      </c>
    </row>
    <row r="792">
      <c r="A792" s="1" t="s">
        <v>3200</v>
      </c>
      <c r="B792" s="5" t="s">
        <v>3201</v>
      </c>
      <c r="C792" s="5" t="s">
        <v>53</v>
      </c>
      <c r="D792" s="5" t="s">
        <v>950</v>
      </c>
      <c r="E792" s="36">
        <v>37032.0</v>
      </c>
      <c r="F792" s="5">
        <v>6.283131626665E12</v>
      </c>
      <c r="G792" s="1" t="s">
        <v>3202</v>
      </c>
      <c r="H792" s="5" t="s">
        <v>293</v>
      </c>
      <c r="I792" s="5" t="s">
        <v>57</v>
      </c>
      <c r="J792" s="5" t="s">
        <v>58</v>
      </c>
      <c r="K792" s="5" t="s">
        <v>529</v>
      </c>
      <c r="L792" s="5" t="s">
        <v>564</v>
      </c>
    </row>
    <row r="793">
      <c r="A793" s="1" t="s">
        <v>3203</v>
      </c>
      <c r="B793" s="5" t="s">
        <v>3204</v>
      </c>
      <c r="C793" s="5" t="s">
        <v>53</v>
      </c>
      <c r="D793" s="5" t="s">
        <v>3205</v>
      </c>
      <c r="E793" s="36">
        <v>33906.0</v>
      </c>
      <c r="F793" s="5">
        <v>6.287822262642E12</v>
      </c>
      <c r="G793" s="1" t="s">
        <v>3206</v>
      </c>
      <c r="H793" s="5" t="s">
        <v>575</v>
      </c>
      <c r="I793" s="5" t="s">
        <v>57</v>
      </c>
      <c r="J793" s="5" t="s">
        <v>691</v>
      </c>
      <c r="K793" s="5" t="s">
        <v>529</v>
      </c>
      <c r="L793" s="5" t="s">
        <v>564</v>
      </c>
    </row>
    <row r="794">
      <c r="A794" s="1" t="s">
        <v>3207</v>
      </c>
      <c r="B794" s="5" t="s">
        <v>3208</v>
      </c>
      <c r="C794" s="5" t="s">
        <v>76</v>
      </c>
      <c r="D794" s="5" t="s">
        <v>3209</v>
      </c>
      <c r="E794" s="36">
        <v>31943.0</v>
      </c>
      <c r="F794" s="5">
        <v>6.282251437261E12</v>
      </c>
      <c r="G794" s="1" t="s">
        <v>3210</v>
      </c>
      <c r="H794" s="5" t="s">
        <v>630</v>
      </c>
      <c r="I794" s="5" t="s">
        <v>57</v>
      </c>
      <c r="J794" s="5" t="s">
        <v>58</v>
      </c>
      <c r="K794" s="5" t="s">
        <v>3211</v>
      </c>
      <c r="L794" s="5" t="s">
        <v>3212</v>
      </c>
    </row>
    <row r="795">
      <c r="A795" s="1" t="s">
        <v>3213</v>
      </c>
      <c r="B795" s="5" t="s">
        <v>3214</v>
      </c>
      <c r="C795" s="5" t="s">
        <v>53</v>
      </c>
      <c r="D795" s="5" t="s">
        <v>724</v>
      </c>
      <c r="E795" s="36">
        <v>33245.0</v>
      </c>
      <c r="F795" s="5">
        <v>6.281221811191E12</v>
      </c>
      <c r="G795" s="1" t="s">
        <v>3215</v>
      </c>
      <c r="H795" s="5" t="s">
        <v>1032</v>
      </c>
      <c r="I795" s="5" t="s">
        <v>57</v>
      </c>
      <c r="J795" s="5" t="s">
        <v>1991</v>
      </c>
      <c r="K795" s="5" t="s">
        <v>539</v>
      </c>
      <c r="L795" s="5" t="s">
        <v>311</v>
      </c>
    </row>
    <row r="796">
      <c r="A796" s="1" t="s">
        <v>3216</v>
      </c>
      <c r="B796" s="5" t="s">
        <v>3217</v>
      </c>
      <c r="C796" s="5" t="s">
        <v>76</v>
      </c>
      <c r="D796" s="5" t="s">
        <v>472</v>
      </c>
      <c r="E796" s="36">
        <v>36967.0</v>
      </c>
      <c r="F796" s="5">
        <v>6.282137749519E12</v>
      </c>
      <c r="G796" s="1" t="s">
        <v>3218</v>
      </c>
      <c r="H796" s="5" t="s">
        <v>293</v>
      </c>
      <c r="I796" s="5" t="s">
        <v>57</v>
      </c>
      <c r="J796" s="5" t="s">
        <v>1425</v>
      </c>
      <c r="K796" s="5" t="s">
        <v>1449</v>
      </c>
      <c r="L796" s="5" t="s">
        <v>3219</v>
      </c>
    </row>
    <row r="797">
      <c r="A797" s="1" t="s">
        <v>3220</v>
      </c>
      <c r="B797" s="5" t="s">
        <v>3221</v>
      </c>
      <c r="C797" s="5" t="s">
        <v>76</v>
      </c>
      <c r="D797" s="5" t="s">
        <v>533</v>
      </c>
      <c r="E797" s="36">
        <v>35066.0</v>
      </c>
      <c r="F797" s="5">
        <v>6.289693221485E12</v>
      </c>
      <c r="G797" s="1" t="s">
        <v>3222</v>
      </c>
      <c r="H797" s="5" t="s">
        <v>649</v>
      </c>
      <c r="I797" s="5" t="s">
        <v>57</v>
      </c>
      <c r="J797" s="5" t="s">
        <v>58</v>
      </c>
      <c r="K797" s="5" t="s">
        <v>500</v>
      </c>
      <c r="L797" s="5" t="s">
        <v>1292</v>
      </c>
    </row>
    <row r="798">
      <c r="A798" s="1" t="s">
        <v>3223</v>
      </c>
      <c r="B798" s="5" t="s">
        <v>3224</v>
      </c>
      <c r="C798" s="5" t="s">
        <v>53</v>
      </c>
      <c r="D798" s="5" t="s">
        <v>994</v>
      </c>
      <c r="E798" s="36">
        <v>36009.0</v>
      </c>
      <c r="F798" s="5">
        <v>6.287889017421E12</v>
      </c>
      <c r="G798" s="1" t="s">
        <v>3225</v>
      </c>
      <c r="H798" s="5" t="s">
        <v>438</v>
      </c>
      <c r="I798" s="5" t="s">
        <v>57</v>
      </c>
      <c r="J798" s="5" t="s">
        <v>1044</v>
      </c>
      <c r="K798" s="5" t="s">
        <v>529</v>
      </c>
      <c r="L798" s="5" t="s">
        <v>564</v>
      </c>
    </row>
    <row r="799">
      <c r="A799" s="1" t="s">
        <v>3226</v>
      </c>
      <c r="B799" s="5" t="s">
        <v>3227</v>
      </c>
      <c r="C799" s="5" t="s">
        <v>53</v>
      </c>
      <c r="D799" s="5" t="s">
        <v>3228</v>
      </c>
      <c r="E799" s="35">
        <v>37645.0</v>
      </c>
      <c r="F799" s="5">
        <v>6.285945869769E12</v>
      </c>
      <c r="G799" s="1" t="s">
        <v>3229</v>
      </c>
      <c r="H799" s="5" t="s">
        <v>474</v>
      </c>
      <c r="I799" s="5" t="s">
        <v>57</v>
      </c>
      <c r="J799" s="5" t="s">
        <v>2780</v>
      </c>
    </row>
    <row r="800">
      <c r="A800" s="1" t="s">
        <v>3230</v>
      </c>
      <c r="B800" s="5" t="s">
        <v>3231</v>
      </c>
      <c r="C800" s="5" t="s">
        <v>53</v>
      </c>
      <c r="D800" s="5" t="s">
        <v>2845</v>
      </c>
      <c r="E800" s="36">
        <v>32256.0</v>
      </c>
      <c r="F800" s="5">
        <v>6.285317679236E12</v>
      </c>
      <c r="G800" s="1" t="s">
        <v>3232</v>
      </c>
      <c r="H800" s="5" t="s">
        <v>1065</v>
      </c>
      <c r="I800" s="5" t="s">
        <v>57</v>
      </c>
      <c r="J800" s="5" t="s">
        <v>2516</v>
      </c>
      <c r="K800" s="5" t="s">
        <v>672</v>
      </c>
      <c r="L800" s="5" t="s">
        <v>1036</v>
      </c>
    </row>
    <row r="801">
      <c r="A801" s="1" t="s">
        <v>3233</v>
      </c>
      <c r="B801" s="5" t="s">
        <v>3234</v>
      </c>
      <c r="C801" s="5" t="s">
        <v>76</v>
      </c>
      <c r="D801" s="5" t="s">
        <v>1500</v>
      </c>
      <c r="E801" s="36">
        <v>37570.0</v>
      </c>
      <c r="F801" s="5">
        <v>6.289693763162E12</v>
      </c>
      <c r="G801" s="1" t="s">
        <v>3235</v>
      </c>
      <c r="H801" s="5" t="s">
        <v>544</v>
      </c>
      <c r="I801" s="5" t="s">
        <v>57</v>
      </c>
      <c r="J801" s="5" t="s">
        <v>385</v>
      </c>
      <c r="K801" s="5" t="s">
        <v>3236</v>
      </c>
      <c r="L801" s="5" t="s">
        <v>1105</v>
      </c>
    </row>
    <row r="802">
      <c r="A802" s="1" t="s">
        <v>3237</v>
      </c>
      <c r="B802" s="5" t="s">
        <v>3238</v>
      </c>
      <c r="C802" s="5" t="s">
        <v>76</v>
      </c>
      <c r="D802" s="5" t="s">
        <v>3239</v>
      </c>
      <c r="E802" s="36">
        <v>36490.0</v>
      </c>
      <c r="F802" s="5">
        <v>6.2857236999E12</v>
      </c>
      <c r="G802" s="1" t="s">
        <v>3240</v>
      </c>
      <c r="H802" s="5" t="s">
        <v>516</v>
      </c>
      <c r="I802" s="5" t="s">
        <v>57</v>
      </c>
      <c r="J802" s="5" t="s">
        <v>792</v>
      </c>
      <c r="K802" s="5" t="s">
        <v>1387</v>
      </c>
      <c r="L802" s="5" t="s">
        <v>1387</v>
      </c>
    </row>
    <row r="803">
      <c r="A803" s="1" t="s">
        <v>3241</v>
      </c>
      <c r="B803" s="5" t="s">
        <v>3242</v>
      </c>
      <c r="C803" s="5" t="s">
        <v>76</v>
      </c>
      <c r="D803" s="5" t="s">
        <v>3243</v>
      </c>
      <c r="E803" s="36">
        <v>37815.0</v>
      </c>
      <c r="F803" s="5">
        <v>6.289691719682E12</v>
      </c>
      <c r="G803" s="1" t="s">
        <v>3244</v>
      </c>
      <c r="H803" s="5" t="s">
        <v>544</v>
      </c>
      <c r="I803" s="5" t="s">
        <v>57</v>
      </c>
      <c r="J803" s="5" t="s">
        <v>58</v>
      </c>
      <c r="K803" s="5" t="s">
        <v>500</v>
      </c>
      <c r="L803" s="5" t="s">
        <v>793</v>
      </c>
    </row>
    <row r="804">
      <c r="A804" s="1" t="s">
        <v>3245</v>
      </c>
      <c r="B804" s="5" t="s">
        <v>3246</v>
      </c>
      <c r="C804" s="5" t="s">
        <v>53</v>
      </c>
      <c r="D804" s="5" t="s">
        <v>533</v>
      </c>
      <c r="E804" s="36">
        <v>37372.0</v>
      </c>
      <c r="F804" s="5">
        <v>6.28134964724E12</v>
      </c>
      <c r="G804" s="1" t="s">
        <v>3247</v>
      </c>
      <c r="H804" s="5" t="s">
        <v>474</v>
      </c>
      <c r="I804" s="5" t="s">
        <v>57</v>
      </c>
      <c r="J804" s="5" t="s">
        <v>58</v>
      </c>
      <c r="K804" s="5" t="s">
        <v>848</v>
      </c>
      <c r="L804" s="5" t="s">
        <v>848</v>
      </c>
    </row>
    <row r="805">
      <c r="A805" s="1" t="s">
        <v>3248</v>
      </c>
      <c r="B805" s="5" t="s">
        <v>3249</v>
      </c>
      <c r="C805" s="5" t="s">
        <v>76</v>
      </c>
      <c r="D805" s="5" t="s">
        <v>3250</v>
      </c>
      <c r="E805" s="36">
        <v>37426.0</v>
      </c>
      <c r="F805" s="5">
        <v>6.282289900225E12</v>
      </c>
      <c r="G805" s="1" t="s">
        <v>3251</v>
      </c>
      <c r="H805" s="5" t="s">
        <v>3252</v>
      </c>
      <c r="I805" s="5" t="s">
        <v>57</v>
      </c>
      <c r="J805" s="5" t="s">
        <v>854</v>
      </c>
      <c r="K805" s="5" t="s">
        <v>1626</v>
      </c>
      <c r="L805" s="5" t="s">
        <v>3253</v>
      </c>
    </row>
    <row r="806">
      <c r="A806" s="1" t="s">
        <v>3254</v>
      </c>
      <c r="B806" s="5" t="s">
        <v>3255</v>
      </c>
      <c r="C806" s="5" t="s">
        <v>53</v>
      </c>
      <c r="D806" s="5" t="s">
        <v>3256</v>
      </c>
      <c r="E806" s="36">
        <v>33886.0</v>
      </c>
      <c r="F806" s="5">
        <v>6.285142712781E12</v>
      </c>
      <c r="G806" s="1" t="s">
        <v>3257</v>
      </c>
      <c r="H806" s="5" t="s">
        <v>575</v>
      </c>
      <c r="I806" s="5" t="s">
        <v>57</v>
      </c>
      <c r="J806" s="5" t="s">
        <v>787</v>
      </c>
      <c r="K806" s="5" t="s">
        <v>523</v>
      </c>
      <c r="L806" s="5" t="s">
        <v>3258</v>
      </c>
    </row>
    <row r="807">
      <c r="A807" s="1" t="s">
        <v>3259</v>
      </c>
      <c r="B807" s="5" t="s">
        <v>3260</v>
      </c>
      <c r="C807" s="5" t="s">
        <v>76</v>
      </c>
      <c r="D807" s="5" t="s">
        <v>770</v>
      </c>
      <c r="E807" s="36">
        <v>37616.0</v>
      </c>
      <c r="F807" s="5">
        <v>6.282138733872E12</v>
      </c>
      <c r="G807" s="1" t="s">
        <v>3261</v>
      </c>
      <c r="H807" s="5" t="s">
        <v>474</v>
      </c>
      <c r="I807" s="5" t="s">
        <v>57</v>
      </c>
      <c r="J807" s="5" t="s">
        <v>787</v>
      </c>
      <c r="K807" s="5" t="s">
        <v>842</v>
      </c>
      <c r="L807" s="5" t="s">
        <v>540</v>
      </c>
    </row>
    <row r="808">
      <c r="A808" s="1" t="s">
        <v>3262</v>
      </c>
      <c r="B808" s="5" t="s">
        <v>3263</v>
      </c>
      <c r="C808" s="5" t="s">
        <v>53</v>
      </c>
      <c r="D808" s="5" t="s">
        <v>968</v>
      </c>
      <c r="E808" s="36">
        <v>33515.0</v>
      </c>
      <c r="F808" s="5">
        <v>6.2813333544E12</v>
      </c>
      <c r="G808" s="1" t="s">
        <v>3264</v>
      </c>
      <c r="H808" s="5" t="s">
        <v>661</v>
      </c>
      <c r="I808" s="5" t="s">
        <v>57</v>
      </c>
      <c r="J808" s="5" t="s">
        <v>506</v>
      </c>
      <c r="K808" s="5" t="s">
        <v>523</v>
      </c>
      <c r="L808" s="5" t="s">
        <v>524</v>
      </c>
    </row>
    <row r="809">
      <c r="A809" s="1" t="s">
        <v>3265</v>
      </c>
      <c r="B809" s="5" t="s">
        <v>3266</v>
      </c>
      <c r="C809" s="5" t="s">
        <v>53</v>
      </c>
      <c r="D809" s="5" t="s">
        <v>618</v>
      </c>
      <c r="E809" s="36">
        <v>37878.0</v>
      </c>
      <c r="F809" s="5">
        <v>6.281227857796E12</v>
      </c>
      <c r="G809" s="1" t="s">
        <v>3267</v>
      </c>
      <c r="H809" s="5" t="s">
        <v>544</v>
      </c>
      <c r="I809" s="5" t="s">
        <v>57</v>
      </c>
      <c r="J809" s="5" t="s">
        <v>847</v>
      </c>
      <c r="K809" s="5" t="s">
        <v>523</v>
      </c>
      <c r="L809" s="5" t="s">
        <v>577</v>
      </c>
    </row>
    <row r="810">
      <c r="A810" s="1" t="s">
        <v>3268</v>
      </c>
      <c r="B810" s="5" t="s">
        <v>3269</v>
      </c>
      <c r="C810" s="5" t="s">
        <v>53</v>
      </c>
      <c r="D810" s="5" t="s">
        <v>968</v>
      </c>
      <c r="E810" s="36">
        <v>34249.0</v>
      </c>
      <c r="F810" s="5">
        <v>6.28113112015E11</v>
      </c>
      <c r="G810" s="1" t="s">
        <v>3270</v>
      </c>
      <c r="H810" s="5" t="s">
        <v>939</v>
      </c>
      <c r="I810" s="5" t="s">
        <v>57</v>
      </c>
      <c r="J810" s="5" t="s">
        <v>996</v>
      </c>
      <c r="K810" s="5" t="s">
        <v>3271</v>
      </c>
      <c r="L810" s="5" t="s">
        <v>3271</v>
      </c>
    </row>
    <row r="811">
      <c r="A811" s="1" t="s">
        <v>3272</v>
      </c>
      <c r="B811" s="5" t="s">
        <v>3273</v>
      </c>
      <c r="C811" s="5" t="s">
        <v>53</v>
      </c>
      <c r="D811" s="5" t="s">
        <v>595</v>
      </c>
      <c r="E811" s="35">
        <v>34381.0</v>
      </c>
      <c r="F811" s="5">
        <v>6.285648134636E12</v>
      </c>
      <c r="G811" s="1" t="s">
        <v>3274</v>
      </c>
      <c r="H811" s="5" t="s">
        <v>649</v>
      </c>
      <c r="I811" s="5" t="s">
        <v>57</v>
      </c>
      <c r="J811" s="5" t="s">
        <v>506</v>
      </c>
    </row>
    <row r="812">
      <c r="A812" s="1" t="s">
        <v>3275</v>
      </c>
      <c r="B812" s="5" t="s">
        <v>3276</v>
      </c>
      <c r="C812" s="5" t="s">
        <v>53</v>
      </c>
      <c r="D812" s="5" t="s">
        <v>373</v>
      </c>
      <c r="E812" s="36">
        <v>37255.0</v>
      </c>
      <c r="F812" s="5">
        <v>6.285158090414E12</v>
      </c>
      <c r="G812" s="1" t="s">
        <v>3277</v>
      </c>
      <c r="H812" s="5" t="s">
        <v>293</v>
      </c>
      <c r="I812" s="5" t="s">
        <v>57</v>
      </c>
      <c r="J812" s="5" t="s">
        <v>1048</v>
      </c>
      <c r="K812" s="5" t="s">
        <v>523</v>
      </c>
      <c r="L812" s="5" t="s">
        <v>746</v>
      </c>
    </row>
    <row r="813">
      <c r="A813" s="1" t="s">
        <v>3278</v>
      </c>
      <c r="B813" s="5" t="s">
        <v>3279</v>
      </c>
      <c r="C813" s="5" t="s">
        <v>53</v>
      </c>
      <c r="D813" s="5" t="s">
        <v>3280</v>
      </c>
      <c r="E813" s="36">
        <v>32258.0</v>
      </c>
      <c r="F813" s="5">
        <v>6.282311115685E12</v>
      </c>
      <c r="G813" s="1" t="s">
        <v>3281</v>
      </c>
      <c r="H813" s="5" t="s">
        <v>1065</v>
      </c>
      <c r="I813" s="5" t="s">
        <v>57</v>
      </c>
      <c r="J813" s="5" t="s">
        <v>506</v>
      </c>
      <c r="K813" s="5" t="s">
        <v>529</v>
      </c>
      <c r="L813" s="5" t="s">
        <v>1263</v>
      </c>
    </row>
    <row r="814">
      <c r="A814" s="1" t="s">
        <v>3282</v>
      </c>
      <c r="B814" s="5" t="s">
        <v>3283</v>
      </c>
      <c r="C814" s="5" t="s">
        <v>53</v>
      </c>
      <c r="D814" s="5" t="s">
        <v>968</v>
      </c>
      <c r="E814" s="36">
        <v>37236.0</v>
      </c>
      <c r="F814" s="5">
        <v>6.285337735283E12</v>
      </c>
      <c r="G814" s="1" t="s">
        <v>3284</v>
      </c>
      <c r="H814" s="5" t="s">
        <v>474</v>
      </c>
      <c r="I814" s="5" t="s">
        <v>57</v>
      </c>
      <c r="J814" s="5" t="s">
        <v>506</v>
      </c>
      <c r="K814" s="5" t="s">
        <v>1138</v>
      </c>
      <c r="L814" s="5" t="s">
        <v>1359</v>
      </c>
    </row>
    <row r="815">
      <c r="A815" s="1" t="s">
        <v>3285</v>
      </c>
      <c r="B815" s="5" t="s">
        <v>3286</v>
      </c>
      <c r="C815" s="5" t="s">
        <v>76</v>
      </c>
      <c r="D815" s="5" t="s">
        <v>3287</v>
      </c>
      <c r="E815" s="36">
        <v>36132.0</v>
      </c>
      <c r="F815" s="5">
        <v>6.28125640362E11</v>
      </c>
      <c r="G815" s="1" t="s">
        <v>3288</v>
      </c>
      <c r="H815" s="5" t="s">
        <v>516</v>
      </c>
      <c r="I815" s="5" t="s">
        <v>57</v>
      </c>
      <c r="J815" s="5" t="s">
        <v>666</v>
      </c>
      <c r="K815" s="5" t="s">
        <v>539</v>
      </c>
      <c r="L815" s="5" t="s">
        <v>540</v>
      </c>
    </row>
    <row r="816">
      <c r="A816" s="1" t="s">
        <v>3289</v>
      </c>
      <c r="B816" s="5" t="s">
        <v>3290</v>
      </c>
      <c r="C816" s="5" t="s">
        <v>53</v>
      </c>
      <c r="D816" s="5" t="s">
        <v>3291</v>
      </c>
      <c r="E816" s="36">
        <v>34347.0</v>
      </c>
      <c r="F816" s="5">
        <v>6.282170700091E12</v>
      </c>
      <c r="G816" s="1" t="s">
        <v>3292</v>
      </c>
      <c r="H816" s="5" t="s">
        <v>661</v>
      </c>
      <c r="I816" s="5" t="s">
        <v>57</v>
      </c>
      <c r="J816" s="5" t="s">
        <v>506</v>
      </c>
      <c r="K816" s="5" t="s">
        <v>3293</v>
      </c>
      <c r="L816" s="5" t="s">
        <v>3294</v>
      </c>
    </row>
    <row r="817">
      <c r="A817" s="1" t="s">
        <v>3295</v>
      </c>
      <c r="B817" s="5" t="s">
        <v>3296</v>
      </c>
      <c r="C817" s="5" t="s">
        <v>76</v>
      </c>
      <c r="D817" s="5" t="s">
        <v>741</v>
      </c>
      <c r="E817" s="36">
        <v>32548.0</v>
      </c>
      <c r="F817" s="5">
        <v>6.28111090899E11</v>
      </c>
      <c r="G817" s="1" t="s">
        <v>3297</v>
      </c>
      <c r="H817" s="5" t="s">
        <v>190</v>
      </c>
      <c r="I817" s="5" t="s">
        <v>57</v>
      </c>
      <c r="J817" s="5" t="s">
        <v>682</v>
      </c>
      <c r="K817" s="5" t="s">
        <v>523</v>
      </c>
      <c r="L817" s="5" t="s">
        <v>524</v>
      </c>
    </row>
    <row r="818">
      <c r="A818" s="1" t="s">
        <v>3298</v>
      </c>
      <c r="B818" s="5" t="s">
        <v>3299</v>
      </c>
      <c r="C818" s="5" t="s">
        <v>53</v>
      </c>
      <c r="D818" s="5" t="s">
        <v>537</v>
      </c>
      <c r="E818" s="36">
        <v>37412.0</v>
      </c>
      <c r="F818" s="5">
        <v>6.281283337556E12</v>
      </c>
      <c r="G818" s="1" t="s">
        <v>3300</v>
      </c>
      <c r="H818" s="5" t="s">
        <v>544</v>
      </c>
      <c r="I818" s="5" t="s">
        <v>57</v>
      </c>
      <c r="J818" s="5" t="s">
        <v>807</v>
      </c>
      <c r="K818" s="5" t="s">
        <v>500</v>
      </c>
      <c r="L818" s="5" t="s">
        <v>1747</v>
      </c>
    </row>
    <row r="819">
      <c r="A819" s="1" t="s">
        <v>3301</v>
      </c>
      <c r="B819" s="5" t="s">
        <v>3302</v>
      </c>
      <c r="C819" s="5" t="s">
        <v>76</v>
      </c>
      <c r="D819" s="5" t="s">
        <v>705</v>
      </c>
      <c r="E819" s="36">
        <v>37915.0</v>
      </c>
      <c r="F819" s="5">
        <v>6.282370525707E12</v>
      </c>
      <c r="G819" s="1" t="s">
        <v>3303</v>
      </c>
      <c r="H819" s="5" t="s">
        <v>544</v>
      </c>
      <c r="I819" s="5" t="s">
        <v>57</v>
      </c>
      <c r="J819" s="5" t="s">
        <v>807</v>
      </c>
      <c r="K819" s="5" t="s">
        <v>842</v>
      </c>
      <c r="L819" s="5" t="s">
        <v>799</v>
      </c>
    </row>
    <row r="820">
      <c r="A820" s="1" t="s">
        <v>3304</v>
      </c>
      <c r="B820" s="5" t="s">
        <v>3305</v>
      </c>
      <c r="C820" s="5" t="s">
        <v>76</v>
      </c>
      <c r="D820" s="5" t="s">
        <v>3306</v>
      </c>
      <c r="E820" s="36">
        <v>36765.0</v>
      </c>
      <c r="F820" s="5">
        <v>6.2896352912E12</v>
      </c>
      <c r="G820" s="1" t="s">
        <v>3307</v>
      </c>
      <c r="H820" s="5" t="s">
        <v>236</v>
      </c>
      <c r="I820" s="5" t="s">
        <v>57</v>
      </c>
      <c r="J820" s="5" t="s">
        <v>787</v>
      </c>
      <c r="K820" s="5" t="s">
        <v>523</v>
      </c>
      <c r="L820" s="5" t="s">
        <v>1210</v>
      </c>
    </row>
    <row r="821">
      <c r="A821" s="1" t="s">
        <v>3308</v>
      </c>
      <c r="B821" s="5" t="s">
        <v>3309</v>
      </c>
      <c r="C821" s="5" t="s">
        <v>76</v>
      </c>
      <c r="D821" s="5" t="s">
        <v>637</v>
      </c>
      <c r="E821" s="36">
        <v>32947.0</v>
      </c>
      <c r="F821" s="5">
        <v>6.285645336686E12</v>
      </c>
      <c r="G821" s="1" t="s">
        <v>3310</v>
      </c>
      <c r="H821" s="5" t="s">
        <v>1032</v>
      </c>
      <c r="I821" s="5" t="s">
        <v>57</v>
      </c>
      <c r="J821" s="5" t="s">
        <v>506</v>
      </c>
      <c r="K821" s="5" t="s">
        <v>842</v>
      </c>
      <c r="L821" s="5" t="s">
        <v>799</v>
      </c>
    </row>
    <row r="822">
      <c r="A822" s="1" t="s">
        <v>3311</v>
      </c>
      <c r="B822" s="5" t="s">
        <v>3312</v>
      </c>
      <c r="C822" s="5" t="s">
        <v>76</v>
      </c>
      <c r="D822" s="5" t="s">
        <v>1660</v>
      </c>
      <c r="E822" s="36">
        <v>37688.0</v>
      </c>
      <c r="F822" s="5">
        <v>6.282326869092E12</v>
      </c>
      <c r="G822" s="1" t="s">
        <v>3313</v>
      </c>
      <c r="H822" s="5" t="s">
        <v>544</v>
      </c>
      <c r="I822" s="5" t="s">
        <v>57</v>
      </c>
      <c r="J822" s="5" t="s">
        <v>2400</v>
      </c>
      <c r="K822" s="5" t="s">
        <v>848</v>
      </c>
      <c r="L822" s="5" t="s">
        <v>848</v>
      </c>
    </row>
    <row r="823">
      <c r="A823" s="1" t="s">
        <v>3314</v>
      </c>
      <c r="B823" s="5" t="s">
        <v>3315</v>
      </c>
      <c r="C823" s="5" t="s">
        <v>76</v>
      </c>
      <c r="D823" s="5" t="s">
        <v>968</v>
      </c>
      <c r="E823" s="36">
        <v>33100.0</v>
      </c>
      <c r="F823" s="5">
        <v>6.287825063223E12</v>
      </c>
      <c r="G823" s="1" t="s">
        <v>3316</v>
      </c>
      <c r="H823" s="5" t="s">
        <v>1032</v>
      </c>
      <c r="I823" s="5" t="s">
        <v>57</v>
      </c>
      <c r="J823" s="5" t="s">
        <v>506</v>
      </c>
      <c r="K823" s="5" t="s">
        <v>842</v>
      </c>
      <c r="L823" s="5" t="s">
        <v>799</v>
      </c>
    </row>
    <row r="824">
      <c r="A824" s="1" t="s">
        <v>3317</v>
      </c>
      <c r="B824" s="5" t="s">
        <v>3318</v>
      </c>
      <c r="C824" s="5" t="s">
        <v>53</v>
      </c>
      <c r="D824" s="5" t="s">
        <v>2826</v>
      </c>
      <c r="E824" s="36">
        <v>36716.0</v>
      </c>
      <c r="F824" s="5">
        <v>6.28114330466E11</v>
      </c>
      <c r="G824" s="1" t="s">
        <v>3319</v>
      </c>
      <c r="H824" s="5" t="s">
        <v>236</v>
      </c>
      <c r="I824" s="5" t="s">
        <v>57</v>
      </c>
      <c r="J824" s="5" t="s">
        <v>2780</v>
      </c>
      <c r="K824" s="5" t="s">
        <v>500</v>
      </c>
      <c r="L824" s="5" t="s">
        <v>1846</v>
      </c>
    </row>
    <row r="825">
      <c r="A825" s="1" t="s">
        <v>3320</v>
      </c>
      <c r="B825" s="5" t="s">
        <v>3321</v>
      </c>
      <c r="C825" s="5" t="s">
        <v>53</v>
      </c>
      <c r="D825" s="5" t="s">
        <v>775</v>
      </c>
      <c r="E825" s="36">
        <v>36233.0</v>
      </c>
      <c r="F825" s="5">
        <v>6.285643754367E12</v>
      </c>
      <c r="G825" s="1" t="s">
        <v>3322</v>
      </c>
      <c r="H825" s="5" t="s">
        <v>474</v>
      </c>
      <c r="I825" s="5" t="s">
        <v>57</v>
      </c>
      <c r="J825" s="5" t="s">
        <v>813</v>
      </c>
      <c r="K825" s="5" t="s">
        <v>539</v>
      </c>
      <c r="L825" s="5" t="s">
        <v>859</v>
      </c>
    </row>
    <row r="826">
      <c r="A826" s="1" t="s">
        <v>3323</v>
      </c>
      <c r="B826" s="5" t="s">
        <v>3324</v>
      </c>
      <c r="C826" s="5" t="s">
        <v>53</v>
      </c>
      <c r="D826" s="5" t="s">
        <v>3325</v>
      </c>
      <c r="E826" s="36">
        <v>34274.0</v>
      </c>
      <c r="F826" s="5">
        <v>6.285230981111E12</v>
      </c>
      <c r="G826" s="1" t="s">
        <v>3326</v>
      </c>
      <c r="H826" s="5" t="s">
        <v>939</v>
      </c>
      <c r="I826" s="5" t="s">
        <v>57</v>
      </c>
      <c r="J826" s="5" t="s">
        <v>581</v>
      </c>
      <c r="K826" s="5" t="s">
        <v>848</v>
      </c>
      <c r="L826" s="5" t="s">
        <v>849</v>
      </c>
    </row>
    <row r="827">
      <c r="A827" s="1" t="s">
        <v>3327</v>
      </c>
      <c r="B827" s="5" t="s">
        <v>3328</v>
      </c>
      <c r="C827" s="5" t="s">
        <v>76</v>
      </c>
      <c r="D827" s="5" t="s">
        <v>781</v>
      </c>
      <c r="E827" s="36">
        <v>36389.0</v>
      </c>
      <c r="F827" s="5">
        <v>6.281325095487E12</v>
      </c>
      <c r="G827" s="1" t="s">
        <v>3329</v>
      </c>
      <c r="H827" s="5" t="s">
        <v>516</v>
      </c>
      <c r="I827" s="5" t="s">
        <v>57</v>
      </c>
      <c r="J827" s="5" t="s">
        <v>847</v>
      </c>
      <c r="K827" s="5" t="s">
        <v>556</v>
      </c>
      <c r="L827" s="5" t="s">
        <v>883</v>
      </c>
    </row>
    <row r="828">
      <c r="A828" s="1" t="s">
        <v>3330</v>
      </c>
      <c r="B828" s="5" t="s">
        <v>3331</v>
      </c>
      <c r="C828" s="5" t="s">
        <v>53</v>
      </c>
      <c r="D828" s="5" t="s">
        <v>3332</v>
      </c>
      <c r="E828" s="36">
        <v>36964.0</v>
      </c>
      <c r="F828" s="5">
        <v>6.285346074429E12</v>
      </c>
      <c r="G828" s="1" t="s">
        <v>3333</v>
      </c>
      <c r="H828" s="5" t="s">
        <v>236</v>
      </c>
      <c r="I828" s="5" t="s">
        <v>57</v>
      </c>
      <c r="J828" s="5" t="s">
        <v>2780</v>
      </c>
      <c r="K828" s="5" t="s">
        <v>3334</v>
      </c>
      <c r="L828" s="5" t="s">
        <v>1036</v>
      </c>
    </row>
    <row r="829">
      <c r="A829" s="1" t="s">
        <v>3335</v>
      </c>
      <c r="B829" s="5" t="s">
        <v>3336</v>
      </c>
      <c r="C829" s="5" t="s">
        <v>53</v>
      </c>
      <c r="D829" s="5" t="s">
        <v>3337</v>
      </c>
      <c r="E829" s="36">
        <v>37206.0</v>
      </c>
      <c r="F829" s="5">
        <v>6.287748005519E12</v>
      </c>
      <c r="G829" s="1" t="s">
        <v>3338</v>
      </c>
      <c r="H829" s="5" t="s">
        <v>474</v>
      </c>
      <c r="I829" s="5" t="s">
        <v>57</v>
      </c>
      <c r="J829" s="5" t="s">
        <v>511</v>
      </c>
      <c r="K829" s="5" t="s">
        <v>3339</v>
      </c>
      <c r="L829" s="5" t="s">
        <v>697</v>
      </c>
    </row>
    <row r="830">
      <c r="A830" s="1" t="s">
        <v>3340</v>
      </c>
      <c r="B830" s="5" t="s">
        <v>3341</v>
      </c>
      <c r="C830" s="5" t="s">
        <v>76</v>
      </c>
      <c r="D830" s="5" t="s">
        <v>527</v>
      </c>
      <c r="E830" s="35">
        <v>37112.0</v>
      </c>
      <c r="F830" s="5">
        <v>6.285790813197E12</v>
      </c>
      <c r="G830" s="1" t="s">
        <v>3342</v>
      </c>
      <c r="H830" s="5" t="s">
        <v>293</v>
      </c>
      <c r="I830" s="5" t="s">
        <v>57</v>
      </c>
      <c r="J830" s="5" t="s">
        <v>1962</v>
      </c>
    </row>
    <row r="831">
      <c r="A831" s="1" t="s">
        <v>3343</v>
      </c>
      <c r="B831" s="5" t="s">
        <v>3344</v>
      </c>
      <c r="C831" s="5" t="s">
        <v>76</v>
      </c>
      <c r="D831" s="5" t="s">
        <v>3345</v>
      </c>
      <c r="E831" s="36">
        <v>36466.0</v>
      </c>
      <c r="F831" s="5">
        <v>6.285340628598E12</v>
      </c>
      <c r="G831" s="1" t="s">
        <v>3346</v>
      </c>
      <c r="H831" s="5" t="s">
        <v>516</v>
      </c>
      <c r="I831" s="5" t="s">
        <v>57</v>
      </c>
      <c r="J831" s="5" t="s">
        <v>1002</v>
      </c>
      <c r="K831" s="5" t="s">
        <v>500</v>
      </c>
      <c r="L831" s="5" t="s">
        <v>501</v>
      </c>
    </row>
    <row r="832">
      <c r="A832" s="1" t="s">
        <v>3347</v>
      </c>
      <c r="B832" s="5" t="s">
        <v>3348</v>
      </c>
      <c r="C832" s="5" t="s">
        <v>76</v>
      </c>
      <c r="D832" s="5" t="s">
        <v>680</v>
      </c>
      <c r="E832" s="36">
        <v>36788.0</v>
      </c>
      <c r="F832" s="5">
        <v>6.282146248688E12</v>
      </c>
      <c r="G832" s="1" t="s">
        <v>3349</v>
      </c>
      <c r="H832" s="5" t="s">
        <v>293</v>
      </c>
      <c r="I832" s="5" t="s">
        <v>57</v>
      </c>
      <c r="J832" s="5" t="s">
        <v>2939</v>
      </c>
      <c r="K832" s="5" t="s">
        <v>539</v>
      </c>
      <c r="L832" s="5" t="s">
        <v>799</v>
      </c>
    </row>
    <row r="833">
      <c r="A833" s="1" t="s">
        <v>3350</v>
      </c>
      <c r="B833" s="5" t="s">
        <v>3351</v>
      </c>
      <c r="C833" s="5" t="s">
        <v>76</v>
      </c>
      <c r="D833" s="5" t="s">
        <v>741</v>
      </c>
      <c r="E833" s="36">
        <v>37021.0</v>
      </c>
      <c r="F833" s="5">
        <v>6.281932147104E12</v>
      </c>
      <c r="G833" s="1" t="s">
        <v>3352</v>
      </c>
      <c r="H833" s="5" t="s">
        <v>293</v>
      </c>
      <c r="I833" s="5" t="s">
        <v>57</v>
      </c>
      <c r="J833" s="5" t="s">
        <v>1962</v>
      </c>
      <c r="K833" s="5" t="s">
        <v>539</v>
      </c>
      <c r="L833" s="5" t="s">
        <v>799</v>
      </c>
    </row>
    <row r="834">
      <c r="A834" s="1" t="s">
        <v>3353</v>
      </c>
      <c r="B834" s="5" t="s">
        <v>3354</v>
      </c>
      <c r="C834" s="5" t="s">
        <v>76</v>
      </c>
      <c r="D834" s="5" t="s">
        <v>3355</v>
      </c>
      <c r="E834" s="36">
        <v>37634.0</v>
      </c>
      <c r="F834" s="5">
        <v>6.282286737805E12</v>
      </c>
      <c r="G834" s="1" t="s">
        <v>3356</v>
      </c>
      <c r="H834" s="5" t="s">
        <v>544</v>
      </c>
      <c r="I834" s="5" t="s">
        <v>57</v>
      </c>
      <c r="J834" s="5" t="s">
        <v>807</v>
      </c>
      <c r="K834" s="5" t="s">
        <v>672</v>
      </c>
      <c r="L834" s="5" t="s">
        <v>3357</v>
      </c>
    </row>
    <row r="835">
      <c r="A835" s="1" t="s">
        <v>3358</v>
      </c>
      <c r="B835" s="5" t="s">
        <v>3359</v>
      </c>
      <c r="C835" s="5" t="s">
        <v>76</v>
      </c>
      <c r="D835" s="5" t="s">
        <v>770</v>
      </c>
      <c r="E835" s="36">
        <v>36505.0</v>
      </c>
      <c r="F835" s="5">
        <v>6.28223560295E12</v>
      </c>
      <c r="G835" s="1" t="s">
        <v>3360</v>
      </c>
      <c r="H835" s="5" t="s">
        <v>236</v>
      </c>
      <c r="I835" s="5" t="s">
        <v>57</v>
      </c>
      <c r="J835" s="5" t="s">
        <v>787</v>
      </c>
      <c r="K835" s="5" t="s">
        <v>539</v>
      </c>
      <c r="L835" s="5" t="s">
        <v>540</v>
      </c>
    </row>
    <row r="836">
      <c r="A836" s="1" t="s">
        <v>3361</v>
      </c>
      <c r="B836" s="5" t="s">
        <v>3362</v>
      </c>
      <c r="C836" s="5" t="s">
        <v>53</v>
      </c>
      <c r="D836" s="5" t="s">
        <v>3306</v>
      </c>
      <c r="E836" s="36">
        <v>37001.0</v>
      </c>
      <c r="F836" s="5">
        <v>6.287855849846E12</v>
      </c>
      <c r="G836" s="1" t="s">
        <v>3363</v>
      </c>
      <c r="H836" s="5" t="s">
        <v>474</v>
      </c>
      <c r="I836" s="5" t="s">
        <v>57</v>
      </c>
      <c r="J836" s="5" t="s">
        <v>1662</v>
      </c>
      <c r="K836" s="5" t="s">
        <v>848</v>
      </c>
      <c r="L836" s="5" t="s">
        <v>848</v>
      </c>
    </row>
    <row r="837">
      <c r="A837" s="1" t="s">
        <v>3364</v>
      </c>
      <c r="B837" s="5" t="s">
        <v>3365</v>
      </c>
      <c r="C837" s="5" t="s">
        <v>76</v>
      </c>
      <c r="D837" s="5" t="s">
        <v>3366</v>
      </c>
      <c r="E837" s="36">
        <v>36547.0</v>
      </c>
      <c r="F837" s="5">
        <v>6.282290108544E12</v>
      </c>
      <c r="G837" s="1" t="s">
        <v>3367</v>
      </c>
      <c r="H837" s="5" t="s">
        <v>438</v>
      </c>
      <c r="I837" s="5" t="s">
        <v>57</v>
      </c>
      <c r="J837" s="5" t="s">
        <v>2780</v>
      </c>
      <c r="K837" s="5" t="s">
        <v>3368</v>
      </c>
      <c r="L837" s="5" t="s">
        <v>2521</v>
      </c>
    </row>
    <row r="838">
      <c r="A838" s="1" t="s">
        <v>3369</v>
      </c>
      <c r="B838" s="5" t="s">
        <v>3370</v>
      </c>
      <c r="C838" s="5" t="s">
        <v>53</v>
      </c>
      <c r="D838" s="5" t="s">
        <v>770</v>
      </c>
      <c r="E838" s="36">
        <v>37547.0</v>
      </c>
      <c r="F838" s="5">
        <v>6.2857379873E12</v>
      </c>
      <c r="G838" s="1" t="s">
        <v>3371</v>
      </c>
      <c r="H838" s="5" t="s">
        <v>474</v>
      </c>
      <c r="I838" s="5" t="s">
        <v>57</v>
      </c>
      <c r="J838" s="5" t="s">
        <v>787</v>
      </c>
      <c r="K838" s="5" t="s">
        <v>842</v>
      </c>
      <c r="L838" s="5" t="s">
        <v>540</v>
      </c>
    </row>
    <row r="839">
      <c r="A839" s="1" t="s">
        <v>3372</v>
      </c>
      <c r="B839" s="5" t="s">
        <v>3373</v>
      </c>
      <c r="C839" s="5" t="s">
        <v>76</v>
      </c>
      <c r="D839" s="5" t="s">
        <v>2574</v>
      </c>
      <c r="E839" s="36">
        <v>37744.0</v>
      </c>
      <c r="F839" s="5">
        <v>6.281237550613E12</v>
      </c>
      <c r="G839" s="1" t="s">
        <v>3374</v>
      </c>
      <c r="H839" s="5" t="s">
        <v>544</v>
      </c>
      <c r="I839" s="5" t="s">
        <v>562</v>
      </c>
      <c r="J839" s="5" t="s">
        <v>506</v>
      </c>
      <c r="K839" s="5" t="s">
        <v>2041</v>
      </c>
      <c r="L839" s="5" t="s">
        <v>592</v>
      </c>
    </row>
    <row r="840">
      <c r="A840" s="1" t="s">
        <v>3375</v>
      </c>
      <c r="B840" s="5" t="s">
        <v>3376</v>
      </c>
      <c r="C840" s="5" t="s">
        <v>76</v>
      </c>
      <c r="D840" s="5" t="s">
        <v>533</v>
      </c>
      <c r="E840" s="36">
        <v>31339.0</v>
      </c>
      <c r="F840" s="5">
        <v>6.282157747234E12</v>
      </c>
      <c r="G840" s="1" t="s">
        <v>3377</v>
      </c>
      <c r="H840" s="5" t="s">
        <v>630</v>
      </c>
      <c r="I840" s="5" t="s">
        <v>57</v>
      </c>
      <c r="J840" s="5" t="s">
        <v>58</v>
      </c>
      <c r="K840" s="5" t="s">
        <v>556</v>
      </c>
      <c r="L840" s="5" t="s">
        <v>3378</v>
      </c>
    </row>
    <row r="841">
      <c r="A841" s="1" t="s">
        <v>3379</v>
      </c>
      <c r="B841" s="5" t="s">
        <v>3380</v>
      </c>
      <c r="C841" s="5" t="s">
        <v>53</v>
      </c>
      <c r="D841" s="5" t="s">
        <v>1415</v>
      </c>
      <c r="E841" s="36">
        <v>36740.0</v>
      </c>
      <c r="F841" s="5">
        <v>6.287836447327E12</v>
      </c>
      <c r="G841" s="1" t="s">
        <v>3381</v>
      </c>
      <c r="H841" s="5" t="s">
        <v>236</v>
      </c>
      <c r="I841" s="5" t="s">
        <v>57</v>
      </c>
      <c r="J841" s="5" t="s">
        <v>511</v>
      </c>
      <c r="K841" s="5" t="s">
        <v>3382</v>
      </c>
      <c r="L841" s="5" t="s">
        <v>3383</v>
      </c>
    </row>
    <row r="842">
      <c r="A842" s="1" t="s">
        <v>3384</v>
      </c>
      <c r="B842" s="5" t="s">
        <v>3385</v>
      </c>
      <c r="C842" s="5" t="s">
        <v>53</v>
      </c>
      <c r="D842" s="5" t="s">
        <v>1415</v>
      </c>
      <c r="E842" s="36">
        <v>37513.0</v>
      </c>
      <c r="F842" s="5">
        <v>6.282325276341E12</v>
      </c>
      <c r="G842" s="1" t="s">
        <v>3386</v>
      </c>
      <c r="H842" s="5" t="s">
        <v>544</v>
      </c>
      <c r="I842" s="5" t="s">
        <v>57</v>
      </c>
      <c r="J842" s="5" t="s">
        <v>996</v>
      </c>
      <c r="K842" s="5" t="s">
        <v>529</v>
      </c>
      <c r="L842" s="5" t="s">
        <v>564</v>
      </c>
    </row>
    <row r="843">
      <c r="A843" s="1" t="s">
        <v>3387</v>
      </c>
      <c r="B843" s="5" t="s">
        <v>3388</v>
      </c>
      <c r="C843" s="5" t="s">
        <v>76</v>
      </c>
      <c r="D843" s="5" t="s">
        <v>710</v>
      </c>
      <c r="E843" s="36">
        <v>35674.0</v>
      </c>
      <c r="F843" s="5">
        <v>6.285298714619E12</v>
      </c>
      <c r="G843" s="1" t="s">
        <v>3389</v>
      </c>
      <c r="H843" s="5" t="s">
        <v>308</v>
      </c>
      <c r="I843" s="5" t="s">
        <v>57</v>
      </c>
      <c r="J843" s="5" t="s">
        <v>1962</v>
      </c>
      <c r="K843" s="5" t="s">
        <v>842</v>
      </c>
      <c r="L843" s="5" t="s">
        <v>799</v>
      </c>
    </row>
    <row r="844">
      <c r="A844" s="1" t="s">
        <v>3390</v>
      </c>
      <c r="B844" s="5" t="s">
        <v>3391</v>
      </c>
      <c r="C844" s="5" t="s">
        <v>76</v>
      </c>
      <c r="D844" s="5" t="s">
        <v>845</v>
      </c>
      <c r="E844" s="36">
        <v>33539.0</v>
      </c>
      <c r="F844" s="5">
        <v>6.28995675085E11</v>
      </c>
      <c r="G844" s="1" t="s">
        <v>3392</v>
      </c>
      <c r="H844" s="5" t="s">
        <v>499</v>
      </c>
      <c r="I844" s="5" t="s">
        <v>57</v>
      </c>
      <c r="J844" s="5" t="s">
        <v>385</v>
      </c>
      <c r="K844" s="5" t="s">
        <v>2935</v>
      </c>
      <c r="L844" s="5" t="s">
        <v>3393</v>
      </c>
    </row>
    <row r="845">
      <c r="A845" s="1" t="s">
        <v>3394</v>
      </c>
      <c r="B845" s="5" t="s">
        <v>3395</v>
      </c>
      <c r="C845" s="5" t="s">
        <v>76</v>
      </c>
      <c r="D845" s="5" t="s">
        <v>968</v>
      </c>
      <c r="E845" s="36">
        <v>37386.0</v>
      </c>
      <c r="F845" s="5">
        <v>6.281931523913E12</v>
      </c>
      <c r="G845" s="1" t="s">
        <v>3396</v>
      </c>
      <c r="H845" s="5" t="s">
        <v>474</v>
      </c>
      <c r="I845" s="5" t="s">
        <v>57</v>
      </c>
      <c r="J845" s="5" t="s">
        <v>506</v>
      </c>
      <c r="K845" s="5" t="s">
        <v>529</v>
      </c>
      <c r="L845" s="5" t="s">
        <v>2477</v>
      </c>
    </row>
    <row r="846">
      <c r="A846" s="1" t="s">
        <v>3397</v>
      </c>
      <c r="B846" s="5" t="s">
        <v>3398</v>
      </c>
      <c r="C846" s="5" t="s">
        <v>53</v>
      </c>
      <c r="D846" s="5" t="s">
        <v>504</v>
      </c>
      <c r="E846" s="36">
        <v>36035.0</v>
      </c>
      <c r="F846" s="5">
        <v>6.2895338888868E13</v>
      </c>
      <c r="G846" s="1" t="s">
        <v>3399</v>
      </c>
      <c r="H846" s="5" t="s">
        <v>438</v>
      </c>
      <c r="I846" s="5" t="s">
        <v>57</v>
      </c>
      <c r="J846" s="5" t="s">
        <v>506</v>
      </c>
      <c r="K846" s="5" t="s">
        <v>848</v>
      </c>
      <c r="L846" s="5" t="s">
        <v>849</v>
      </c>
    </row>
    <row r="847">
      <c r="A847" s="1" t="s">
        <v>3400</v>
      </c>
      <c r="B847" s="5" t="s">
        <v>3401</v>
      </c>
      <c r="C847" s="5" t="s">
        <v>76</v>
      </c>
      <c r="D847" s="5" t="s">
        <v>968</v>
      </c>
      <c r="E847" s="36">
        <v>36376.0</v>
      </c>
      <c r="F847" s="5">
        <v>6.282131756755E12</v>
      </c>
      <c r="G847" s="1" t="s">
        <v>3402</v>
      </c>
      <c r="H847" s="5" t="s">
        <v>236</v>
      </c>
      <c r="I847" s="5" t="s">
        <v>57</v>
      </c>
      <c r="J847" s="5" t="s">
        <v>506</v>
      </c>
      <c r="K847" s="5" t="s">
        <v>529</v>
      </c>
      <c r="L847" s="5" t="s">
        <v>2477</v>
      </c>
    </row>
    <row r="848">
      <c r="A848" s="1" t="s">
        <v>3403</v>
      </c>
      <c r="B848" s="5" t="s">
        <v>3404</v>
      </c>
      <c r="C848" s="5" t="s">
        <v>76</v>
      </c>
      <c r="D848" s="5" t="s">
        <v>618</v>
      </c>
      <c r="E848" s="35">
        <v>36320.0</v>
      </c>
      <c r="F848" s="5">
        <v>6.2895361684591E13</v>
      </c>
      <c r="G848" s="1" t="s">
        <v>3405</v>
      </c>
      <c r="H848" s="5" t="s">
        <v>516</v>
      </c>
      <c r="I848" s="5" t="s">
        <v>57</v>
      </c>
      <c r="J848" s="5" t="s">
        <v>613</v>
      </c>
    </row>
    <row r="849">
      <c r="A849" s="1" t="s">
        <v>3406</v>
      </c>
      <c r="B849" s="5" t="s">
        <v>3407</v>
      </c>
      <c r="C849" s="5" t="s">
        <v>53</v>
      </c>
      <c r="D849" s="5" t="s">
        <v>741</v>
      </c>
      <c r="E849" s="36">
        <v>37589.0</v>
      </c>
      <c r="F849" s="5">
        <v>6.28131867998E12</v>
      </c>
      <c r="G849" s="1" t="s">
        <v>3408</v>
      </c>
      <c r="H849" s="5" t="s">
        <v>474</v>
      </c>
      <c r="I849" s="5" t="s">
        <v>57</v>
      </c>
      <c r="J849" s="5" t="s">
        <v>576</v>
      </c>
      <c r="K849" s="5" t="s">
        <v>529</v>
      </c>
      <c r="L849" s="5" t="s">
        <v>677</v>
      </c>
    </row>
    <row r="850">
      <c r="A850" s="1" t="s">
        <v>3409</v>
      </c>
      <c r="B850" s="5" t="s">
        <v>3410</v>
      </c>
      <c r="C850" s="5" t="s">
        <v>53</v>
      </c>
      <c r="D850" s="5" t="s">
        <v>3411</v>
      </c>
      <c r="E850" s="36">
        <v>37789.0</v>
      </c>
      <c r="F850" s="5">
        <v>6.287828937699E12</v>
      </c>
      <c r="G850" s="1" t="s">
        <v>3412</v>
      </c>
      <c r="H850" s="5" t="s">
        <v>544</v>
      </c>
      <c r="I850" s="5" t="s">
        <v>57</v>
      </c>
      <c r="J850" s="5" t="s">
        <v>1002</v>
      </c>
      <c r="K850" s="5" t="s">
        <v>500</v>
      </c>
      <c r="L850" s="5" t="s">
        <v>653</v>
      </c>
    </row>
    <row r="851">
      <c r="A851" s="1" t="s">
        <v>3413</v>
      </c>
      <c r="B851" s="5" t="s">
        <v>3414</v>
      </c>
      <c r="C851" s="5" t="s">
        <v>76</v>
      </c>
      <c r="D851" s="5" t="s">
        <v>811</v>
      </c>
      <c r="E851" s="36">
        <v>37605.0</v>
      </c>
      <c r="F851" s="5">
        <v>6.28515778523E12</v>
      </c>
      <c r="G851" s="1" t="s">
        <v>3415</v>
      </c>
      <c r="H851" s="5" t="s">
        <v>544</v>
      </c>
      <c r="I851" s="5" t="s">
        <v>57</v>
      </c>
      <c r="J851" s="5" t="s">
        <v>813</v>
      </c>
      <c r="K851" s="5" t="s">
        <v>523</v>
      </c>
      <c r="L851" s="5" t="s">
        <v>524</v>
      </c>
    </row>
    <row r="852">
      <c r="A852" s="1" t="s">
        <v>3416</v>
      </c>
      <c r="B852" s="5" t="s">
        <v>3417</v>
      </c>
      <c r="C852" s="5" t="s">
        <v>76</v>
      </c>
      <c r="D852" s="5" t="s">
        <v>770</v>
      </c>
      <c r="E852" s="36">
        <v>37713.0</v>
      </c>
      <c r="F852" s="5">
        <v>6.287857109751E12</v>
      </c>
      <c r="G852" s="1" t="s">
        <v>3418</v>
      </c>
      <c r="H852" s="5" t="s">
        <v>544</v>
      </c>
      <c r="I852" s="5" t="s">
        <v>57</v>
      </c>
      <c r="J852" s="5" t="s">
        <v>787</v>
      </c>
      <c r="K852" s="5" t="s">
        <v>539</v>
      </c>
      <c r="L852" s="5" t="s">
        <v>859</v>
      </c>
    </row>
    <row r="853">
      <c r="A853" s="1" t="s">
        <v>3419</v>
      </c>
      <c r="B853" s="5" t="s">
        <v>3420</v>
      </c>
      <c r="C853" s="5" t="s">
        <v>53</v>
      </c>
      <c r="D853" s="5" t="s">
        <v>3421</v>
      </c>
      <c r="E853" s="36">
        <v>36998.0</v>
      </c>
      <c r="F853" s="5">
        <v>6.283119748718E12</v>
      </c>
      <c r="G853" s="1" t="s">
        <v>3422</v>
      </c>
      <c r="H853" s="5" t="s">
        <v>544</v>
      </c>
      <c r="I853" s="5" t="s">
        <v>57</v>
      </c>
      <c r="J853" s="5" t="s">
        <v>825</v>
      </c>
      <c r="K853" s="5" t="s">
        <v>848</v>
      </c>
      <c r="L853" s="5" t="s">
        <v>848</v>
      </c>
    </row>
    <row r="854">
      <c r="A854" s="1" t="s">
        <v>3423</v>
      </c>
      <c r="B854" s="5" t="s">
        <v>3424</v>
      </c>
      <c r="C854" s="5" t="s">
        <v>76</v>
      </c>
      <c r="D854" s="5" t="s">
        <v>1253</v>
      </c>
      <c r="E854" s="36">
        <v>37620.0</v>
      </c>
      <c r="F854" s="5">
        <v>6.2881026077378E13</v>
      </c>
      <c r="G854" s="1" t="s">
        <v>3425</v>
      </c>
      <c r="H854" s="5" t="s">
        <v>544</v>
      </c>
      <c r="I854" s="5" t="s">
        <v>562</v>
      </c>
      <c r="J854" s="5" t="s">
        <v>984</v>
      </c>
      <c r="K854" s="5" t="s">
        <v>2041</v>
      </c>
      <c r="L854" s="5" t="s">
        <v>3426</v>
      </c>
    </row>
    <row r="855">
      <c r="A855" s="1" t="s">
        <v>3427</v>
      </c>
      <c r="B855" s="5" t="s">
        <v>3428</v>
      </c>
      <c r="C855" s="5" t="s">
        <v>76</v>
      </c>
      <c r="D855" s="5" t="s">
        <v>3429</v>
      </c>
      <c r="E855" s="36">
        <v>37067.0</v>
      </c>
      <c r="F855" s="5">
        <v>6.28193806899E12</v>
      </c>
      <c r="G855" s="1" t="s">
        <v>3430</v>
      </c>
      <c r="H855" s="5" t="s">
        <v>293</v>
      </c>
      <c r="I855" s="5" t="s">
        <v>57</v>
      </c>
      <c r="J855" s="5" t="s">
        <v>772</v>
      </c>
      <c r="K855" s="5" t="s">
        <v>1542</v>
      </c>
      <c r="L855" s="5" t="s">
        <v>2563</v>
      </c>
    </row>
    <row r="856">
      <c r="A856" s="1" t="s">
        <v>3431</v>
      </c>
      <c r="B856" s="5" t="s">
        <v>3432</v>
      </c>
      <c r="C856" s="5" t="s">
        <v>76</v>
      </c>
      <c r="D856" s="5" t="s">
        <v>968</v>
      </c>
      <c r="E856" s="36">
        <v>36810.0</v>
      </c>
      <c r="F856" s="5">
        <v>6.281259635255E12</v>
      </c>
      <c r="G856" s="1" t="s">
        <v>3433</v>
      </c>
      <c r="H856" s="5" t="s">
        <v>544</v>
      </c>
      <c r="I856" s="5" t="s">
        <v>57</v>
      </c>
      <c r="J856" s="5" t="s">
        <v>666</v>
      </c>
      <c r="K856" s="5" t="s">
        <v>539</v>
      </c>
      <c r="L856" s="5" t="s">
        <v>799</v>
      </c>
    </row>
    <row r="857">
      <c r="A857" s="1" t="s">
        <v>3434</v>
      </c>
      <c r="B857" s="5" t="s">
        <v>3435</v>
      </c>
      <c r="C857" s="5" t="s">
        <v>76</v>
      </c>
      <c r="D857" s="5" t="s">
        <v>994</v>
      </c>
      <c r="E857" s="36">
        <v>37974.0</v>
      </c>
      <c r="F857" s="5">
        <v>6.285701835562E12</v>
      </c>
      <c r="G857" s="1" t="s">
        <v>3436</v>
      </c>
      <c r="H857" s="5" t="s">
        <v>544</v>
      </c>
      <c r="I857" s="5" t="s">
        <v>57</v>
      </c>
      <c r="J857" s="5" t="s">
        <v>772</v>
      </c>
      <c r="K857" s="5" t="s">
        <v>1677</v>
      </c>
      <c r="L857" s="5" t="s">
        <v>3437</v>
      </c>
    </row>
    <row r="858">
      <c r="A858" s="1" t="s">
        <v>3438</v>
      </c>
      <c r="B858" s="5" t="s">
        <v>3439</v>
      </c>
      <c r="C858" s="5" t="s">
        <v>76</v>
      </c>
      <c r="D858" s="5" t="s">
        <v>641</v>
      </c>
      <c r="E858" s="36">
        <v>37702.0</v>
      </c>
      <c r="F858" s="5">
        <v>6.281318326664E12</v>
      </c>
      <c r="G858" s="1" t="s">
        <v>3440</v>
      </c>
      <c r="H858" s="5" t="s">
        <v>544</v>
      </c>
      <c r="I858" s="5" t="s">
        <v>57</v>
      </c>
      <c r="J858" s="5" t="s">
        <v>576</v>
      </c>
      <c r="K858" s="5" t="s">
        <v>910</v>
      </c>
      <c r="L858" s="5" t="s">
        <v>915</v>
      </c>
    </row>
    <row r="859">
      <c r="A859" s="1" t="s">
        <v>3441</v>
      </c>
      <c r="B859" s="5" t="s">
        <v>3442</v>
      </c>
      <c r="C859" s="5" t="s">
        <v>53</v>
      </c>
      <c r="D859" s="5" t="s">
        <v>3443</v>
      </c>
      <c r="E859" s="36">
        <v>37825.0</v>
      </c>
      <c r="F859" s="5">
        <v>6.285840254788E12</v>
      </c>
      <c r="G859" s="1" t="s">
        <v>3444</v>
      </c>
      <c r="H859" s="5" t="s">
        <v>544</v>
      </c>
      <c r="I859" s="5" t="s">
        <v>57</v>
      </c>
      <c r="J859" s="5" t="s">
        <v>3445</v>
      </c>
      <c r="K859" s="5" t="s">
        <v>3446</v>
      </c>
      <c r="L859" s="5" t="s">
        <v>1292</v>
      </c>
    </row>
    <row r="860">
      <c r="A860" s="1" t="s">
        <v>3447</v>
      </c>
      <c r="B860" s="5" t="s">
        <v>3448</v>
      </c>
      <c r="C860" s="5" t="s">
        <v>53</v>
      </c>
      <c r="D860" s="5" t="s">
        <v>1415</v>
      </c>
      <c r="E860" s="36">
        <v>37170.0</v>
      </c>
      <c r="F860" s="5">
        <v>6.283865737212E12</v>
      </c>
      <c r="G860" s="1" t="s">
        <v>3449</v>
      </c>
      <c r="H860" s="5" t="s">
        <v>544</v>
      </c>
      <c r="I860" s="5" t="s">
        <v>562</v>
      </c>
      <c r="J860" s="5" t="s">
        <v>506</v>
      </c>
      <c r="K860" s="5" t="s">
        <v>3450</v>
      </c>
      <c r="L860" s="5" t="s">
        <v>3027</v>
      </c>
    </row>
    <row r="861">
      <c r="A861" s="1" t="s">
        <v>3451</v>
      </c>
      <c r="B861" s="5" t="s">
        <v>3452</v>
      </c>
      <c r="C861" s="5" t="s">
        <v>53</v>
      </c>
      <c r="D861" s="5" t="s">
        <v>689</v>
      </c>
      <c r="E861" s="36">
        <v>37203.0</v>
      </c>
      <c r="F861" s="5">
        <v>6.2895344203082E13</v>
      </c>
      <c r="G861" s="1" t="s">
        <v>3453</v>
      </c>
      <c r="H861" s="5" t="s">
        <v>474</v>
      </c>
      <c r="I861" s="5" t="s">
        <v>57</v>
      </c>
      <c r="J861" s="5" t="s">
        <v>522</v>
      </c>
      <c r="K861" s="5" t="s">
        <v>3454</v>
      </c>
      <c r="L861" s="5" t="s">
        <v>540</v>
      </c>
    </row>
    <row r="862">
      <c r="A862" s="1" t="s">
        <v>3455</v>
      </c>
      <c r="B862" s="5" t="s">
        <v>3456</v>
      </c>
      <c r="C862" s="5" t="s">
        <v>53</v>
      </c>
      <c r="D862" s="5" t="s">
        <v>618</v>
      </c>
      <c r="E862" s="36">
        <v>33016.0</v>
      </c>
      <c r="F862" s="5">
        <v>6.285641065075E12</v>
      </c>
      <c r="G862" s="1" t="s">
        <v>3457</v>
      </c>
      <c r="H862" s="5" t="s">
        <v>499</v>
      </c>
      <c r="I862" s="5" t="s">
        <v>57</v>
      </c>
      <c r="J862" s="5" t="s">
        <v>517</v>
      </c>
      <c r="K862" s="5" t="s">
        <v>3458</v>
      </c>
      <c r="L862" s="5" t="s">
        <v>274</v>
      </c>
    </row>
    <row r="863">
      <c r="A863" s="1" t="s">
        <v>3459</v>
      </c>
      <c r="B863" s="5" t="s">
        <v>3460</v>
      </c>
      <c r="C863" s="5" t="s">
        <v>53</v>
      </c>
      <c r="D863" s="5" t="s">
        <v>3461</v>
      </c>
      <c r="E863" s="36">
        <v>37128.0</v>
      </c>
      <c r="F863" s="5">
        <v>6.282146836953E12</v>
      </c>
      <c r="G863" s="1" t="s">
        <v>3462</v>
      </c>
      <c r="H863" s="5" t="s">
        <v>293</v>
      </c>
      <c r="I863" s="5" t="s">
        <v>57</v>
      </c>
      <c r="J863" s="5" t="s">
        <v>813</v>
      </c>
      <c r="K863" s="5" t="s">
        <v>530</v>
      </c>
      <c r="L863" s="5" t="s">
        <v>1359</v>
      </c>
    </row>
    <row r="864">
      <c r="A864" s="1" t="s">
        <v>3463</v>
      </c>
      <c r="B864" s="5" t="s">
        <v>3464</v>
      </c>
      <c r="C864" s="5" t="s">
        <v>53</v>
      </c>
      <c r="D864" s="5" t="s">
        <v>233</v>
      </c>
      <c r="E864" s="36">
        <v>37587.0</v>
      </c>
      <c r="F864" s="5">
        <v>6.2899013496E11</v>
      </c>
      <c r="G864" s="1" t="s">
        <v>3465</v>
      </c>
      <c r="H864" s="5" t="s">
        <v>474</v>
      </c>
      <c r="I864" s="5" t="s">
        <v>57</v>
      </c>
      <c r="J864" s="5" t="s">
        <v>238</v>
      </c>
      <c r="K864" s="5" t="s">
        <v>539</v>
      </c>
      <c r="L864" s="5" t="s">
        <v>540</v>
      </c>
    </row>
    <row r="865">
      <c r="A865" s="1" t="s">
        <v>3466</v>
      </c>
      <c r="B865" s="5" t="s">
        <v>3467</v>
      </c>
      <c r="C865" s="5" t="s">
        <v>53</v>
      </c>
      <c r="D865" s="5" t="s">
        <v>3468</v>
      </c>
      <c r="E865" s="36">
        <v>37268.0</v>
      </c>
      <c r="F865" s="5">
        <v>6.285325326229E12</v>
      </c>
      <c r="G865" s="1" t="s">
        <v>3469</v>
      </c>
      <c r="H865" s="5" t="s">
        <v>474</v>
      </c>
      <c r="I865" s="5" t="s">
        <v>57</v>
      </c>
      <c r="J865" s="5" t="s">
        <v>984</v>
      </c>
      <c r="K865" s="5" t="s">
        <v>529</v>
      </c>
      <c r="L865" s="5" t="s">
        <v>2196</v>
      </c>
    </row>
    <row r="866">
      <c r="A866" s="1" t="s">
        <v>3470</v>
      </c>
      <c r="B866" s="5" t="s">
        <v>3471</v>
      </c>
      <c r="C866" s="5" t="s">
        <v>76</v>
      </c>
      <c r="D866" s="5" t="s">
        <v>637</v>
      </c>
      <c r="E866" s="36">
        <v>36993.0</v>
      </c>
      <c r="F866" s="5">
        <v>6.282135469566E12</v>
      </c>
      <c r="G866" s="1" t="s">
        <v>3472</v>
      </c>
      <c r="H866" s="5" t="s">
        <v>293</v>
      </c>
      <c r="I866" s="5" t="s">
        <v>57</v>
      </c>
      <c r="J866" s="5" t="s">
        <v>696</v>
      </c>
      <c r="K866" s="5" t="s">
        <v>672</v>
      </c>
      <c r="L866" s="5" t="s">
        <v>1036</v>
      </c>
    </row>
    <row r="867">
      <c r="A867" s="1" t="s">
        <v>3473</v>
      </c>
      <c r="B867" s="5" t="s">
        <v>3474</v>
      </c>
      <c r="C867" s="5" t="s">
        <v>53</v>
      </c>
      <c r="D867" s="5" t="s">
        <v>537</v>
      </c>
      <c r="E867" s="36">
        <v>34263.0</v>
      </c>
      <c r="F867" s="5">
        <v>6.281265360903E12</v>
      </c>
      <c r="G867" s="1" t="s">
        <v>3475</v>
      </c>
      <c r="H867" s="5" t="s">
        <v>661</v>
      </c>
      <c r="I867" s="5" t="s">
        <v>57</v>
      </c>
      <c r="J867" s="5" t="s">
        <v>1048</v>
      </c>
      <c r="K867" s="5" t="s">
        <v>523</v>
      </c>
      <c r="L867" s="5" t="s">
        <v>577</v>
      </c>
    </row>
    <row r="868">
      <c r="A868" s="1" t="s">
        <v>3476</v>
      </c>
      <c r="B868" s="5" t="s">
        <v>3477</v>
      </c>
      <c r="C868" s="5" t="s">
        <v>76</v>
      </c>
      <c r="D868" s="5" t="s">
        <v>271</v>
      </c>
      <c r="E868" s="36">
        <v>36042.0</v>
      </c>
      <c r="F868" s="5">
        <v>6.285266067577E12</v>
      </c>
      <c r="G868" s="1" t="s">
        <v>3478</v>
      </c>
      <c r="H868" s="5" t="s">
        <v>438</v>
      </c>
      <c r="I868" s="5" t="s">
        <v>57</v>
      </c>
      <c r="J868" s="5" t="s">
        <v>1991</v>
      </c>
      <c r="K868" s="5" t="s">
        <v>3479</v>
      </c>
      <c r="L868" s="5" t="s">
        <v>3480</v>
      </c>
    </row>
    <row r="869">
      <c r="A869" s="1" t="s">
        <v>3481</v>
      </c>
      <c r="B869" s="5" t="s">
        <v>3482</v>
      </c>
      <c r="C869" s="5" t="s">
        <v>76</v>
      </c>
      <c r="D869" s="5" t="s">
        <v>968</v>
      </c>
      <c r="E869" s="36">
        <v>37383.0</v>
      </c>
      <c r="F869" s="5">
        <v>6.285399869494E12</v>
      </c>
      <c r="G869" s="1" t="s">
        <v>3483</v>
      </c>
      <c r="H869" s="5" t="s">
        <v>474</v>
      </c>
      <c r="I869" s="5" t="s">
        <v>57</v>
      </c>
      <c r="J869" s="5" t="s">
        <v>506</v>
      </c>
      <c r="K869" s="5" t="s">
        <v>529</v>
      </c>
      <c r="L869" s="5" t="s">
        <v>2477</v>
      </c>
    </row>
    <row r="870">
      <c r="A870" s="1" t="s">
        <v>3484</v>
      </c>
      <c r="B870" s="5" t="s">
        <v>3485</v>
      </c>
      <c r="C870" s="5" t="s">
        <v>76</v>
      </c>
      <c r="D870" s="5" t="s">
        <v>1058</v>
      </c>
      <c r="E870" s="36">
        <v>37769.0</v>
      </c>
      <c r="F870" s="5">
        <v>6.28133967749E12</v>
      </c>
      <c r="G870" s="1" t="s">
        <v>3486</v>
      </c>
      <c r="H870" s="5" t="s">
        <v>544</v>
      </c>
      <c r="I870" s="5" t="s">
        <v>57</v>
      </c>
      <c r="J870" s="5" t="s">
        <v>717</v>
      </c>
      <c r="K870" s="5" t="s">
        <v>539</v>
      </c>
      <c r="L870" s="5" t="s">
        <v>799</v>
      </c>
    </row>
    <row r="871">
      <c r="A871" s="1" t="s">
        <v>3487</v>
      </c>
      <c r="B871" s="5" t="s">
        <v>3488</v>
      </c>
      <c r="C871" s="5" t="s">
        <v>53</v>
      </c>
      <c r="D871" s="5" t="s">
        <v>1415</v>
      </c>
      <c r="E871" s="36">
        <v>34652.0</v>
      </c>
      <c r="F871" s="5">
        <v>6.283877669908E12</v>
      </c>
      <c r="G871" s="1" t="s">
        <v>3489</v>
      </c>
      <c r="H871" s="5" t="s">
        <v>649</v>
      </c>
      <c r="I871" s="5" t="s">
        <v>57</v>
      </c>
      <c r="J871" s="5" t="s">
        <v>682</v>
      </c>
      <c r="K871" s="5" t="s">
        <v>523</v>
      </c>
      <c r="L871" s="5" t="s">
        <v>524</v>
      </c>
    </row>
    <row r="872">
      <c r="A872" s="1" t="s">
        <v>3490</v>
      </c>
      <c r="B872" s="5" t="s">
        <v>3491</v>
      </c>
      <c r="C872" s="5" t="s">
        <v>53</v>
      </c>
      <c r="D872" s="5" t="s">
        <v>3492</v>
      </c>
      <c r="E872" s="36">
        <v>35547.0</v>
      </c>
      <c r="F872" s="5">
        <v>6.281945745971E12</v>
      </c>
      <c r="G872" s="1" t="s">
        <v>3493</v>
      </c>
      <c r="H872" s="5" t="s">
        <v>308</v>
      </c>
      <c r="I872" s="5" t="s">
        <v>57</v>
      </c>
      <c r="J872" s="5" t="s">
        <v>772</v>
      </c>
      <c r="K872" s="5" t="s">
        <v>1196</v>
      </c>
      <c r="L872" s="5" t="s">
        <v>3494</v>
      </c>
    </row>
    <row r="873">
      <c r="A873" s="1" t="s">
        <v>3495</v>
      </c>
      <c r="B873" s="5" t="s">
        <v>3496</v>
      </c>
      <c r="C873" s="5" t="s">
        <v>76</v>
      </c>
      <c r="D873" s="5" t="s">
        <v>600</v>
      </c>
      <c r="E873" s="36">
        <v>33603.0</v>
      </c>
      <c r="F873" s="5">
        <v>6.285274998889E12</v>
      </c>
      <c r="G873" s="1" t="s">
        <v>3497</v>
      </c>
      <c r="H873" s="5" t="s">
        <v>575</v>
      </c>
      <c r="I873" s="5" t="s">
        <v>57</v>
      </c>
      <c r="J873" s="5" t="s">
        <v>309</v>
      </c>
      <c r="K873" s="5" t="s">
        <v>539</v>
      </c>
      <c r="L873" s="5" t="s">
        <v>799</v>
      </c>
    </row>
    <row r="874">
      <c r="A874" s="1" t="s">
        <v>3498</v>
      </c>
      <c r="B874" s="5" t="s">
        <v>3499</v>
      </c>
      <c r="C874" s="5" t="s">
        <v>76</v>
      </c>
      <c r="D874" s="5" t="s">
        <v>1039</v>
      </c>
      <c r="E874" s="36">
        <v>36966.0</v>
      </c>
      <c r="F874" s="5">
        <v>6.289637620031E12</v>
      </c>
      <c r="G874" s="1" t="s">
        <v>3500</v>
      </c>
      <c r="H874" s="5" t="s">
        <v>293</v>
      </c>
      <c r="I874" s="5" t="s">
        <v>57</v>
      </c>
      <c r="J874" s="5" t="s">
        <v>984</v>
      </c>
      <c r="K874" s="5" t="s">
        <v>500</v>
      </c>
      <c r="L874" s="5" t="s">
        <v>501</v>
      </c>
    </row>
    <row r="875">
      <c r="A875" s="1" t="s">
        <v>3501</v>
      </c>
      <c r="B875" s="5" t="s">
        <v>3502</v>
      </c>
      <c r="C875" s="5" t="s">
        <v>76</v>
      </c>
      <c r="D875" s="5" t="s">
        <v>3503</v>
      </c>
      <c r="E875" s="36">
        <v>37120.0</v>
      </c>
      <c r="F875" s="5">
        <v>6.28783695152E11</v>
      </c>
      <c r="G875" s="1" t="s">
        <v>3504</v>
      </c>
      <c r="H875" s="5" t="s">
        <v>474</v>
      </c>
      <c r="I875" s="5" t="s">
        <v>57</v>
      </c>
      <c r="J875" s="5" t="s">
        <v>984</v>
      </c>
      <c r="K875" s="5" t="s">
        <v>500</v>
      </c>
      <c r="L875" s="5" t="s">
        <v>653</v>
      </c>
    </row>
    <row r="876">
      <c r="A876" s="1" t="s">
        <v>3505</v>
      </c>
      <c r="B876" s="5" t="s">
        <v>3506</v>
      </c>
      <c r="C876" s="5" t="s">
        <v>53</v>
      </c>
      <c r="D876" s="5" t="s">
        <v>3205</v>
      </c>
      <c r="E876" s="36">
        <v>33974.0</v>
      </c>
      <c r="F876" s="5">
        <v>6.285720072001E12</v>
      </c>
      <c r="G876" s="1" t="s">
        <v>3507</v>
      </c>
      <c r="H876" s="5" t="s">
        <v>661</v>
      </c>
      <c r="I876" s="5" t="s">
        <v>57</v>
      </c>
      <c r="J876" s="5" t="s">
        <v>267</v>
      </c>
      <c r="K876" s="5" t="s">
        <v>523</v>
      </c>
      <c r="L876" s="5" t="s">
        <v>577</v>
      </c>
    </row>
    <row r="877">
      <c r="A877" s="1" t="s">
        <v>3508</v>
      </c>
      <c r="B877" s="5" t="s">
        <v>3509</v>
      </c>
      <c r="C877" s="5" t="s">
        <v>76</v>
      </c>
      <c r="D877" s="5" t="s">
        <v>770</v>
      </c>
      <c r="E877" s="36">
        <v>37544.0</v>
      </c>
      <c r="F877" s="5">
        <v>6.28113901288E11</v>
      </c>
      <c r="G877" s="1" t="s">
        <v>3510</v>
      </c>
      <c r="H877" s="5" t="s">
        <v>544</v>
      </c>
      <c r="I877" s="5" t="s">
        <v>57</v>
      </c>
      <c r="J877" s="5" t="s">
        <v>787</v>
      </c>
      <c r="K877" s="5" t="s">
        <v>848</v>
      </c>
      <c r="L877" s="5" t="s">
        <v>849</v>
      </c>
    </row>
    <row r="878">
      <c r="A878" s="1" t="s">
        <v>3511</v>
      </c>
      <c r="B878" s="5" t="s">
        <v>3512</v>
      </c>
      <c r="C878" s="5" t="s">
        <v>53</v>
      </c>
      <c r="D878" s="5" t="s">
        <v>1266</v>
      </c>
      <c r="E878" s="36">
        <v>37394.0</v>
      </c>
      <c r="F878" s="5">
        <v>6.282183148692E12</v>
      </c>
      <c r="G878" s="1" t="s">
        <v>3513</v>
      </c>
      <c r="H878" s="5" t="s">
        <v>474</v>
      </c>
      <c r="I878" s="5" t="s">
        <v>57</v>
      </c>
      <c r="J878" s="5" t="s">
        <v>696</v>
      </c>
      <c r="K878" s="5" t="s">
        <v>2324</v>
      </c>
      <c r="L878" s="5" t="s">
        <v>582</v>
      </c>
    </row>
    <row r="879">
      <c r="A879" s="1" t="s">
        <v>3514</v>
      </c>
      <c r="E879" s="35"/>
      <c r="G879" s="1"/>
    </row>
    <row r="880">
      <c r="A880" s="1" t="s">
        <v>3515</v>
      </c>
      <c r="B880" s="5" t="s">
        <v>3516</v>
      </c>
      <c r="C880" s="5" t="s">
        <v>53</v>
      </c>
      <c r="D880" s="5" t="s">
        <v>537</v>
      </c>
      <c r="E880" s="36">
        <v>33599.0</v>
      </c>
      <c r="F880" s="5">
        <v>6.281254895449E12</v>
      </c>
      <c r="G880" s="1" t="s">
        <v>3517</v>
      </c>
      <c r="H880" s="5" t="s">
        <v>499</v>
      </c>
      <c r="I880" s="5" t="s">
        <v>57</v>
      </c>
      <c r="J880" s="5" t="s">
        <v>707</v>
      </c>
      <c r="K880" s="5" t="s">
        <v>556</v>
      </c>
      <c r="L880" s="5" t="s">
        <v>3518</v>
      </c>
    </row>
    <row r="881">
      <c r="A881" s="1" t="s">
        <v>3519</v>
      </c>
      <c r="B881" s="5" t="s">
        <v>3520</v>
      </c>
      <c r="C881" s="5" t="s">
        <v>53</v>
      </c>
      <c r="D881" s="5" t="s">
        <v>1058</v>
      </c>
      <c r="E881" s="36">
        <v>35401.0</v>
      </c>
      <c r="F881" s="5">
        <v>6.281318141118E12</v>
      </c>
      <c r="G881" s="1" t="s">
        <v>3521</v>
      </c>
      <c r="H881" s="5" t="s">
        <v>481</v>
      </c>
      <c r="I881" s="5" t="s">
        <v>57</v>
      </c>
      <c r="J881" s="5" t="s">
        <v>482</v>
      </c>
      <c r="K881" s="5" t="s">
        <v>556</v>
      </c>
      <c r="L881" s="5" t="s">
        <v>1992</v>
      </c>
    </row>
    <row r="882">
      <c r="A882" s="1" t="s">
        <v>3522</v>
      </c>
      <c r="B882" s="5" t="s">
        <v>3523</v>
      </c>
      <c r="C882" s="5" t="s">
        <v>76</v>
      </c>
      <c r="D882" s="5" t="s">
        <v>968</v>
      </c>
      <c r="E882" s="36">
        <v>36029.0</v>
      </c>
      <c r="F882" s="5">
        <v>6.281572996666E12</v>
      </c>
      <c r="G882" s="1" t="s">
        <v>3524</v>
      </c>
      <c r="H882" s="5" t="s">
        <v>438</v>
      </c>
      <c r="I882" s="5" t="s">
        <v>57</v>
      </c>
      <c r="J882" s="5" t="s">
        <v>506</v>
      </c>
      <c r="K882" s="5" t="s">
        <v>523</v>
      </c>
      <c r="L882" s="5" t="s">
        <v>1309</v>
      </c>
    </row>
    <row r="883">
      <c r="A883" s="1" t="s">
        <v>3525</v>
      </c>
      <c r="B883" s="5" t="s">
        <v>3526</v>
      </c>
      <c r="C883" s="5" t="s">
        <v>76</v>
      </c>
      <c r="D883" s="5" t="s">
        <v>680</v>
      </c>
      <c r="E883" s="36">
        <v>37404.0</v>
      </c>
      <c r="F883" s="5">
        <v>6.283117348788E12</v>
      </c>
      <c r="G883" s="1" t="s">
        <v>3527</v>
      </c>
      <c r="H883" s="5" t="s">
        <v>474</v>
      </c>
      <c r="I883" s="5" t="s">
        <v>57</v>
      </c>
      <c r="J883" s="5" t="s">
        <v>2775</v>
      </c>
      <c r="K883" s="5" t="s">
        <v>523</v>
      </c>
      <c r="L883" s="5" t="s">
        <v>3528</v>
      </c>
    </row>
    <row r="884">
      <c r="A884" s="1" t="s">
        <v>3529</v>
      </c>
      <c r="B884" s="5" t="s">
        <v>3530</v>
      </c>
      <c r="C884" s="5" t="s">
        <v>76</v>
      </c>
      <c r="D884" s="5" t="s">
        <v>3531</v>
      </c>
      <c r="E884" s="36">
        <v>37857.0</v>
      </c>
      <c r="F884" s="5">
        <v>6.285162522483E12</v>
      </c>
      <c r="G884" s="1" t="s">
        <v>3532</v>
      </c>
      <c r="H884" s="5" t="s">
        <v>544</v>
      </c>
      <c r="I884" s="5" t="s">
        <v>57</v>
      </c>
      <c r="J884" s="5" t="s">
        <v>625</v>
      </c>
      <c r="K884" s="5" t="s">
        <v>500</v>
      </c>
      <c r="L884" s="5" t="s">
        <v>1138</v>
      </c>
    </row>
    <row r="885">
      <c r="A885" s="1" t="s">
        <v>3533</v>
      </c>
      <c r="B885" s="5" t="s">
        <v>3534</v>
      </c>
      <c r="C885" s="5" t="s">
        <v>53</v>
      </c>
      <c r="D885" s="5" t="s">
        <v>514</v>
      </c>
      <c r="E885" s="36">
        <v>26803.0</v>
      </c>
      <c r="F885" s="5">
        <v>6.285736736736E12</v>
      </c>
      <c r="G885" s="1" t="s">
        <v>3535</v>
      </c>
      <c r="H885" s="5" t="s">
        <v>3536</v>
      </c>
      <c r="I885" s="5" t="s">
        <v>57</v>
      </c>
      <c r="J885" s="5" t="s">
        <v>506</v>
      </c>
      <c r="K885" s="5" t="s">
        <v>523</v>
      </c>
      <c r="L885" s="5" t="s">
        <v>577</v>
      </c>
    </row>
    <row r="886">
      <c r="A886" s="1" t="s">
        <v>3537</v>
      </c>
      <c r="B886" s="5" t="s">
        <v>3538</v>
      </c>
      <c r="C886" s="5" t="s">
        <v>53</v>
      </c>
      <c r="D886" s="5" t="s">
        <v>3539</v>
      </c>
      <c r="E886" s="36">
        <v>35938.0</v>
      </c>
      <c r="F886" s="5">
        <v>6.282221393209E12</v>
      </c>
      <c r="G886" s="1" t="s">
        <v>3540</v>
      </c>
      <c r="H886" s="5" t="s">
        <v>516</v>
      </c>
      <c r="I886" s="5" t="s">
        <v>57</v>
      </c>
      <c r="J886" s="5" t="s">
        <v>772</v>
      </c>
      <c r="K886" s="5" t="s">
        <v>500</v>
      </c>
      <c r="L886" s="5" t="s">
        <v>644</v>
      </c>
    </row>
    <row r="887">
      <c r="A887" s="1" t="s">
        <v>3541</v>
      </c>
      <c r="B887" s="5" t="s">
        <v>3542</v>
      </c>
      <c r="C887" s="5" t="s">
        <v>53</v>
      </c>
      <c r="D887" s="5" t="s">
        <v>775</v>
      </c>
      <c r="E887" s="36">
        <v>34251.0</v>
      </c>
      <c r="F887" s="5">
        <v>6.285647475997E12</v>
      </c>
      <c r="G887" s="1" t="s">
        <v>3543</v>
      </c>
      <c r="H887" s="5" t="s">
        <v>939</v>
      </c>
      <c r="I887" s="5" t="s">
        <v>57</v>
      </c>
      <c r="J887" s="5" t="s">
        <v>482</v>
      </c>
      <c r="K887" s="5" t="s">
        <v>539</v>
      </c>
      <c r="L887" s="5" t="s">
        <v>799</v>
      </c>
    </row>
    <row r="888">
      <c r="A888" s="1" t="s">
        <v>3544</v>
      </c>
      <c r="B888" s="5" t="s">
        <v>3545</v>
      </c>
      <c r="C888" s="5" t="s">
        <v>76</v>
      </c>
      <c r="D888" s="5" t="s">
        <v>3546</v>
      </c>
      <c r="E888" s="36">
        <v>34999.0</v>
      </c>
      <c r="F888" s="5">
        <v>6.2853428071E12</v>
      </c>
      <c r="G888" s="1" t="s">
        <v>3547</v>
      </c>
      <c r="H888" s="5" t="s">
        <v>649</v>
      </c>
      <c r="I888" s="5" t="s">
        <v>57</v>
      </c>
      <c r="J888" s="5" t="s">
        <v>1510</v>
      </c>
      <c r="K888" s="5" t="s">
        <v>556</v>
      </c>
      <c r="L888" s="5" t="s">
        <v>2231</v>
      </c>
    </row>
    <row r="889">
      <c r="A889" s="1" t="s">
        <v>3548</v>
      </c>
      <c r="B889" s="5" t="s">
        <v>3549</v>
      </c>
      <c r="C889" s="5" t="s">
        <v>53</v>
      </c>
      <c r="D889" s="5" t="s">
        <v>1844</v>
      </c>
      <c r="E889" s="36">
        <v>36504.0</v>
      </c>
      <c r="F889" s="5">
        <v>6.282128681031E12</v>
      </c>
      <c r="G889" s="1" t="s">
        <v>3550</v>
      </c>
      <c r="H889" s="5" t="s">
        <v>516</v>
      </c>
      <c r="I889" s="5" t="s">
        <v>57</v>
      </c>
      <c r="J889" s="5" t="s">
        <v>691</v>
      </c>
      <c r="K889" s="5" t="s">
        <v>529</v>
      </c>
      <c r="L889" s="5" t="s">
        <v>692</v>
      </c>
    </row>
    <row r="890">
      <c r="A890" s="1" t="s">
        <v>3551</v>
      </c>
      <c r="B890" s="5" t="s">
        <v>3552</v>
      </c>
      <c r="C890" s="5" t="s">
        <v>53</v>
      </c>
      <c r="D890" s="5" t="s">
        <v>994</v>
      </c>
      <c r="E890" s="36">
        <v>35709.0</v>
      </c>
      <c r="F890" s="5">
        <v>6.282252672797E12</v>
      </c>
      <c r="G890" s="1" t="s">
        <v>3553</v>
      </c>
      <c r="H890" s="5" t="s">
        <v>438</v>
      </c>
      <c r="I890" s="5" t="s">
        <v>57</v>
      </c>
      <c r="J890" s="5" t="s">
        <v>569</v>
      </c>
      <c r="K890" s="5" t="s">
        <v>529</v>
      </c>
      <c r="L890" s="5" t="s">
        <v>692</v>
      </c>
    </row>
    <row r="891">
      <c r="A891" s="1" t="s">
        <v>3554</v>
      </c>
      <c r="B891" s="5" t="s">
        <v>3555</v>
      </c>
      <c r="C891" s="5" t="s">
        <v>76</v>
      </c>
      <c r="D891" s="5" t="s">
        <v>618</v>
      </c>
      <c r="E891" s="36">
        <v>36947.0</v>
      </c>
      <c r="F891" s="5">
        <v>6.181517069069E12</v>
      </c>
      <c r="G891" s="1" t="s">
        <v>3556</v>
      </c>
      <c r="H891" s="5" t="s">
        <v>236</v>
      </c>
      <c r="I891" s="5" t="s">
        <v>57</v>
      </c>
      <c r="J891" s="5" t="s">
        <v>555</v>
      </c>
      <c r="K891" s="5" t="s">
        <v>3557</v>
      </c>
      <c r="L891" s="5" t="s">
        <v>697</v>
      </c>
    </row>
    <row r="892">
      <c r="A892" s="1" t="s">
        <v>3558</v>
      </c>
      <c r="B892" s="5" t="s">
        <v>3559</v>
      </c>
      <c r="C892" s="5" t="s">
        <v>76</v>
      </c>
      <c r="D892" s="5" t="s">
        <v>1813</v>
      </c>
      <c r="E892" s="36">
        <v>34343.0</v>
      </c>
      <c r="F892" s="5">
        <v>6.281235377529E12</v>
      </c>
      <c r="G892" s="1" t="s">
        <v>3560</v>
      </c>
      <c r="H892" s="5" t="s">
        <v>661</v>
      </c>
      <c r="I892" s="5" t="s">
        <v>57</v>
      </c>
      <c r="J892" s="5" t="s">
        <v>813</v>
      </c>
      <c r="K892" s="5" t="s">
        <v>539</v>
      </c>
      <c r="L892" s="5" t="s">
        <v>799</v>
      </c>
    </row>
    <row r="893">
      <c r="A893" s="1" t="s">
        <v>3561</v>
      </c>
      <c r="B893" s="5" t="s">
        <v>3562</v>
      </c>
      <c r="C893" s="5" t="s">
        <v>53</v>
      </c>
      <c r="D893" s="5" t="s">
        <v>271</v>
      </c>
      <c r="E893" s="36">
        <v>37431.0</v>
      </c>
      <c r="F893" s="5">
        <v>6.281214267044E12</v>
      </c>
      <c r="G893" s="1" t="s">
        <v>3563</v>
      </c>
      <c r="H893" s="5" t="s">
        <v>544</v>
      </c>
      <c r="I893" s="5" t="s">
        <v>57</v>
      </c>
      <c r="J893" s="5" t="s">
        <v>2682</v>
      </c>
      <c r="K893" s="5" t="s">
        <v>910</v>
      </c>
      <c r="L893" s="5" t="s">
        <v>910</v>
      </c>
    </row>
    <row r="894">
      <c r="A894" s="1" t="s">
        <v>3564</v>
      </c>
      <c r="B894" s="5" t="s">
        <v>3565</v>
      </c>
      <c r="C894" s="5" t="s">
        <v>76</v>
      </c>
      <c r="D894" s="5" t="s">
        <v>3566</v>
      </c>
      <c r="E894" s="35">
        <v>36674.0</v>
      </c>
      <c r="F894" s="5">
        <v>6.2851034751E12</v>
      </c>
      <c r="G894" s="1" t="s">
        <v>3567</v>
      </c>
      <c r="H894" s="5" t="s">
        <v>236</v>
      </c>
      <c r="I894" s="5" t="s">
        <v>57</v>
      </c>
      <c r="J894" s="5" t="s">
        <v>569</v>
      </c>
    </row>
    <row r="895">
      <c r="A895" s="1" t="s">
        <v>3568</v>
      </c>
      <c r="B895" s="5" t="s">
        <v>3569</v>
      </c>
      <c r="C895" s="5" t="s">
        <v>76</v>
      </c>
      <c r="D895" s="5" t="s">
        <v>641</v>
      </c>
      <c r="E895" s="36">
        <v>34087.0</v>
      </c>
      <c r="F895" s="5">
        <v>6.282179870755E12</v>
      </c>
      <c r="G895" s="1" t="s">
        <v>3570</v>
      </c>
      <c r="H895" s="5" t="s">
        <v>939</v>
      </c>
      <c r="I895" s="5" t="s">
        <v>57</v>
      </c>
      <c r="J895" s="5" t="s">
        <v>643</v>
      </c>
      <c r="K895" s="5" t="s">
        <v>910</v>
      </c>
      <c r="L895" s="5" t="s">
        <v>910</v>
      </c>
    </row>
    <row r="896">
      <c r="A896" s="1" t="s">
        <v>3571</v>
      </c>
      <c r="B896" s="5" t="s">
        <v>3572</v>
      </c>
      <c r="C896" s="5" t="s">
        <v>76</v>
      </c>
      <c r="D896" s="5" t="s">
        <v>271</v>
      </c>
      <c r="E896" s="36">
        <v>33541.0</v>
      </c>
      <c r="F896" s="5">
        <v>6.01133643148E11</v>
      </c>
      <c r="G896" s="1" t="s">
        <v>3573</v>
      </c>
      <c r="H896" s="5" t="s">
        <v>499</v>
      </c>
      <c r="I896" s="5" t="s">
        <v>57</v>
      </c>
      <c r="J896" s="5" t="s">
        <v>1217</v>
      </c>
      <c r="K896" s="5" t="s">
        <v>3574</v>
      </c>
      <c r="L896" s="5" t="s">
        <v>592</v>
      </c>
    </row>
    <row r="897">
      <c r="A897" s="1" t="s">
        <v>3575</v>
      </c>
      <c r="B897" s="5" t="s">
        <v>3576</v>
      </c>
      <c r="C897" s="5" t="s">
        <v>53</v>
      </c>
      <c r="D897" s="5" t="s">
        <v>2960</v>
      </c>
      <c r="E897" s="36">
        <v>33465.0</v>
      </c>
      <c r="F897" s="5">
        <v>6.285333668823E12</v>
      </c>
      <c r="G897" s="1" t="s">
        <v>3577</v>
      </c>
      <c r="H897" s="5" t="s">
        <v>499</v>
      </c>
      <c r="I897" s="5" t="s">
        <v>57</v>
      </c>
      <c r="J897" s="5" t="s">
        <v>777</v>
      </c>
      <c r="K897" s="5" t="s">
        <v>539</v>
      </c>
      <c r="L897" s="5" t="s">
        <v>540</v>
      </c>
    </row>
    <row r="898">
      <c r="A898" s="1" t="s">
        <v>3578</v>
      </c>
      <c r="E898" s="36"/>
      <c r="G898" s="1"/>
    </row>
    <row r="899">
      <c r="A899" s="1" t="s">
        <v>3579</v>
      </c>
      <c r="B899" s="5" t="s">
        <v>3580</v>
      </c>
      <c r="C899" s="5" t="s">
        <v>76</v>
      </c>
      <c r="D899" s="5" t="s">
        <v>3189</v>
      </c>
      <c r="E899" s="36">
        <v>33050.0</v>
      </c>
      <c r="F899" s="5">
        <v>6.281329869967E12</v>
      </c>
      <c r="G899" s="1" t="s">
        <v>3581</v>
      </c>
      <c r="H899" s="5" t="s">
        <v>1032</v>
      </c>
      <c r="I899" s="5" t="s">
        <v>57</v>
      </c>
      <c r="J899" s="5" t="s">
        <v>783</v>
      </c>
      <c r="K899" s="5" t="s">
        <v>501</v>
      </c>
      <c r="L899" s="5" t="s">
        <v>501</v>
      </c>
    </row>
    <row r="900">
      <c r="A900" s="1" t="s">
        <v>3582</v>
      </c>
      <c r="B900" s="5" t="s">
        <v>3583</v>
      </c>
      <c r="C900" s="5" t="s">
        <v>53</v>
      </c>
      <c r="D900" s="5" t="s">
        <v>497</v>
      </c>
      <c r="E900" s="36">
        <v>34403.0</v>
      </c>
      <c r="F900" s="5">
        <v>6.28589002263E12</v>
      </c>
      <c r="G900" s="1" t="s">
        <v>3584</v>
      </c>
      <c r="H900" s="5" t="s">
        <v>661</v>
      </c>
      <c r="I900" s="5" t="s">
        <v>57</v>
      </c>
      <c r="J900" s="5" t="s">
        <v>923</v>
      </c>
      <c r="K900" s="5" t="s">
        <v>1069</v>
      </c>
      <c r="L900" s="5" t="s">
        <v>1069</v>
      </c>
    </row>
    <row r="901">
      <c r="A901" s="1" t="s">
        <v>3585</v>
      </c>
      <c r="B901" s="5" t="s">
        <v>3586</v>
      </c>
      <c r="C901" s="5" t="s">
        <v>76</v>
      </c>
      <c r="D901" s="5" t="s">
        <v>3143</v>
      </c>
      <c r="E901" s="36">
        <v>34060.0</v>
      </c>
      <c r="F901" s="5">
        <v>6.281377774196E12</v>
      </c>
      <c r="G901" s="1" t="s">
        <v>3587</v>
      </c>
      <c r="H901" s="5" t="s">
        <v>575</v>
      </c>
      <c r="I901" s="5" t="s">
        <v>57</v>
      </c>
      <c r="J901" s="5" t="s">
        <v>854</v>
      </c>
      <c r="K901" s="5" t="s">
        <v>529</v>
      </c>
      <c r="L901" s="5" t="s">
        <v>564</v>
      </c>
    </row>
    <row r="902">
      <c r="A902" s="1" t="s">
        <v>3588</v>
      </c>
      <c r="B902" s="5" t="s">
        <v>3589</v>
      </c>
      <c r="C902" s="5" t="s">
        <v>76</v>
      </c>
      <c r="D902" s="5" t="s">
        <v>1716</v>
      </c>
      <c r="E902" s="36">
        <v>35118.0</v>
      </c>
      <c r="F902" s="5">
        <v>6.28139374916E12</v>
      </c>
      <c r="G902" s="1" t="s">
        <v>3590</v>
      </c>
      <c r="H902" s="5" t="s">
        <v>481</v>
      </c>
      <c r="I902" s="5" t="s">
        <v>57</v>
      </c>
      <c r="J902" s="5" t="s">
        <v>952</v>
      </c>
      <c r="K902" s="5" t="s">
        <v>539</v>
      </c>
      <c r="L902" s="5" t="s">
        <v>540</v>
      </c>
    </row>
    <row r="903">
      <c r="A903" s="1" t="s">
        <v>3591</v>
      </c>
      <c r="B903" s="5" t="s">
        <v>3592</v>
      </c>
      <c r="C903" s="5" t="s">
        <v>76</v>
      </c>
      <c r="D903" s="5" t="s">
        <v>504</v>
      </c>
      <c r="E903" s="36">
        <v>33868.0</v>
      </c>
      <c r="F903" s="5">
        <v>6.282188332151E12</v>
      </c>
      <c r="G903" s="1" t="s">
        <v>3593</v>
      </c>
      <c r="H903" s="5" t="s">
        <v>575</v>
      </c>
      <c r="I903" s="5" t="s">
        <v>57</v>
      </c>
      <c r="J903" s="5" t="s">
        <v>506</v>
      </c>
      <c r="K903" s="5" t="s">
        <v>539</v>
      </c>
      <c r="L903" s="5" t="s">
        <v>540</v>
      </c>
    </row>
    <row r="904">
      <c r="A904" s="1" t="s">
        <v>3594</v>
      </c>
      <c r="B904" s="5" t="s">
        <v>3595</v>
      </c>
      <c r="C904" s="5" t="s">
        <v>76</v>
      </c>
      <c r="D904" s="5" t="s">
        <v>3596</v>
      </c>
      <c r="E904" s="36">
        <v>34144.0</v>
      </c>
      <c r="F904" s="5">
        <v>6.285395113406E12</v>
      </c>
      <c r="G904" s="1" t="s">
        <v>3597</v>
      </c>
      <c r="H904" s="5" t="s">
        <v>939</v>
      </c>
      <c r="I904" s="5" t="s">
        <v>57</v>
      </c>
      <c r="J904" s="5" t="s">
        <v>506</v>
      </c>
      <c r="K904" s="5" t="s">
        <v>848</v>
      </c>
      <c r="L904" s="5" t="s">
        <v>849</v>
      </c>
    </row>
    <row r="905">
      <c r="A905" s="1" t="s">
        <v>3598</v>
      </c>
      <c r="B905" s="5" t="s">
        <v>3599</v>
      </c>
      <c r="C905" s="5" t="s">
        <v>53</v>
      </c>
      <c r="D905" s="5" t="s">
        <v>533</v>
      </c>
      <c r="E905" s="36">
        <v>35965.0</v>
      </c>
      <c r="F905" s="5">
        <v>6.28965582418E12</v>
      </c>
      <c r="G905" s="1" t="s">
        <v>3600</v>
      </c>
      <c r="H905" s="5" t="s">
        <v>438</v>
      </c>
      <c r="I905" s="5" t="s">
        <v>57</v>
      </c>
      <c r="J905" s="5" t="s">
        <v>825</v>
      </c>
      <c r="K905" s="5" t="s">
        <v>3601</v>
      </c>
      <c r="L905" s="5" t="s">
        <v>540</v>
      </c>
    </row>
    <row r="906">
      <c r="A906" s="1" t="s">
        <v>3602</v>
      </c>
      <c r="B906" s="5" t="s">
        <v>3603</v>
      </c>
      <c r="C906" s="5" t="s">
        <v>53</v>
      </c>
      <c r="D906" s="5" t="s">
        <v>1072</v>
      </c>
      <c r="E906" s="36">
        <v>36934.0</v>
      </c>
      <c r="F906" s="5">
        <v>6.282347042417E12</v>
      </c>
      <c r="G906" s="1" t="s">
        <v>3604</v>
      </c>
      <c r="H906" s="5" t="s">
        <v>293</v>
      </c>
      <c r="I906" s="5" t="s">
        <v>57</v>
      </c>
      <c r="J906" s="5" t="s">
        <v>1002</v>
      </c>
      <c r="K906" s="5" t="s">
        <v>500</v>
      </c>
      <c r="L906" s="5" t="s">
        <v>2132</v>
      </c>
    </row>
    <row r="907">
      <c r="A907" s="1" t="s">
        <v>3605</v>
      </c>
      <c r="B907" s="5" t="s">
        <v>3606</v>
      </c>
      <c r="C907" s="5" t="s">
        <v>76</v>
      </c>
      <c r="D907" s="5" t="s">
        <v>472</v>
      </c>
      <c r="E907" s="36">
        <v>36984.0</v>
      </c>
      <c r="F907" s="5">
        <v>6.285226855151E12</v>
      </c>
      <c r="G907" s="1" t="s">
        <v>3607</v>
      </c>
      <c r="H907" s="5" t="s">
        <v>293</v>
      </c>
      <c r="I907" s="5" t="s">
        <v>57</v>
      </c>
      <c r="J907" s="5" t="s">
        <v>847</v>
      </c>
      <c r="K907" s="5" t="s">
        <v>910</v>
      </c>
      <c r="L907" s="5" t="s">
        <v>3608</v>
      </c>
    </row>
    <row r="908">
      <c r="A908" s="1" t="s">
        <v>3609</v>
      </c>
      <c r="B908" s="5" t="s">
        <v>3610</v>
      </c>
      <c r="C908" s="5" t="s">
        <v>53</v>
      </c>
      <c r="D908" s="5" t="s">
        <v>950</v>
      </c>
      <c r="E908" s="36">
        <v>35513.0</v>
      </c>
      <c r="F908" s="5">
        <v>6.283824880093E12</v>
      </c>
      <c r="G908" s="1" t="s">
        <v>3611</v>
      </c>
      <c r="H908" s="5" t="s">
        <v>308</v>
      </c>
      <c r="I908" s="5" t="s">
        <v>57</v>
      </c>
      <c r="J908" s="5" t="s">
        <v>737</v>
      </c>
      <c r="K908" s="5" t="s">
        <v>539</v>
      </c>
      <c r="L908" s="5" t="s">
        <v>540</v>
      </c>
    </row>
    <row r="909">
      <c r="A909" s="1" t="s">
        <v>3612</v>
      </c>
      <c r="B909" s="5" t="s">
        <v>3613</v>
      </c>
      <c r="C909" s="5" t="s">
        <v>53</v>
      </c>
      <c r="D909" s="5" t="s">
        <v>3189</v>
      </c>
      <c r="E909" s="36">
        <v>35245.0</v>
      </c>
      <c r="F909" s="5">
        <v>6.281227157357E12</v>
      </c>
      <c r="G909" s="1" t="s">
        <v>3614</v>
      </c>
      <c r="H909" s="5" t="s">
        <v>481</v>
      </c>
      <c r="I909" s="5" t="s">
        <v>57</v>
      </c>
      <c r="J909" s="5" t="s">
        <v>506</v>
      </c>
      <c r="K909" s="5" t="s">
        <v>529</v>
      </c>
      <c r="L909" s="5" t="s">
        <v>677</v>
      </c>
    </row>
    <row r="910">
      <c r="A910" s="1" t="s">
        <v>3615</v>
      </c>
      <c r="B910" s="5" t="s">
        <v>3616</v>
      </c>
      <c r="C910" s="5" t="s">
        <v>76</v>
      </c>
      <c r="D910" s="5" t="s">
        <v>271</v>
      </c>
      <c r="E910" s="36">
        <v>37640.0</v>
      </c>
      <c r="F910" s="5">
        <v>6.282262123287E12</v>
      </c>
      <c r="G910" s="1" t="s">
        <v>3617</v>
      </c>
      <c r="H910" s="5" t="s">
        <v>544</v>
      </c>
      <c r="I910" s="5" t="s">
        <v>57</v>
      </c>
      <c r="J910" s="5" t="s">
        <v>1409</v>
      </c>
      <c r="K910" s="5" t="s">
        <v>697</v>
      </c>
      <c r="L910" s="5" t="s">
        <v>697</v>
      </c>
    </row>
    <row r="911">
      <c r="A911" s="1" t="s">
        <v>3618</v>
      </c>
      <c r="B911" s="5" t="s">
        <v>3619</v>
      </c>
      <c r="C911" s="5" t="s">
        <v>76</v>
      </c>
      <c r="D911" s="5" t="s">
        <v>3620</v>
      </c>
      <c r="E911" s="36">
        <v>38372.0</v>
      </c>
      <c r="F911" s="5">
        <v>6.282271110321E12</v>
      </c>
      <c r="G911" s="1" t="s">
        <v>3621</v>
      </c>
      <c r="H911" s="5" t="s">
        <v>544</v>
      </c>
      <c r="I911" s="5" t="s">
        <v>57</v>
      </c>
      <c r="J911" s="5" t="s">
        <v>702</v>
      </c>
      <c r="K911" s="5" t="s">
        <v>500</v>
      </c>
      <c r="L911" s="5" t="s">
        <v>653</v>
      </c>
    </row>
    <row r="912">
      <c r="A912" s="1" t="s">
        <v>3622</v>
      </c>
      <c r="B912" s="5" t="s">
        <v>3623</v>
      </c>
      <c r="C912" s="5" t="s">
        <v>53</v>
      </c>
      <c r="D912" s="5" t="s">
        <v>994</v>
      </c>
      <c r="E912" s="36">
        <v>35451.0</v>
      </c>
      <c r="F912" s="5">
        <v>6.281319024078E12</v>
      </c>
      <c r="G912" s="1" t="s">
        <v>3624</v>
      </c>
      <c r="H912" s="5" t="s">
        <v>308</v>
      </c>
      <c r="I912" s="5" t="s">
        <v>57</v>
      </c>
      <c r="J912" s="5" t="s">
        <v>1205</v>
      </c>
      <c r="K912" s="5" t="s">
        <v>529</v>
      </c>
      <c r="L912" s="5" t="s">
        <v>866</v>
      </c>
    </row>
    <row r="913">
      <c r="A913" s="1" t="s">
        <v>3625</v>
      </c>
      <c r="B913" s="5" t="s">
        <v>3626</v>
      </c>
      <c r="C913" s="5" t="s">
        <v>76</v>
      </c>
      <c r="D913" s="5" t="s">
        <v>3539</v>
      </c>
      <c r="E913" s="36">
        <v>34133.0</v>
      </c>
      <c r="F913" s="5">
        <v>6.285742832444E12</v>
      </c>
      <c r="G913" s="1" t="s">
        <v>3627</v>
      </c>
      <c r="H913" s="5" t="s">
        <v>939</v>
      </c>
      <c r="I913" s="5" t="s">
        <v>57</v>
      </c>
      <c r="J913" s="5" t="s">
        <v>517</v>
      </c>
      <c r="K913" s="5" t="s">
        <v>848</v>
      </c>
      <c r="L913" s="5" t="s">
        <v>849</v>
      </c>
    </row>
    <row r="914">
      <c r="A914" s="1" t="s">
        <v>3628</v>
      </c>
      <c r="B914" s="5" t="s">
        <v>3629</v>
      </c>
      <c r="C914" s="5" t="s">
        <v>53</v>
      </c>
      <c r="D914" s="5" t="s">
        <v>1890</v>
      </c>
      <c r="E914" s="36">
        <v>35541.0</v>
      </c>
      <c r="F914" s="5">
        <v>6.281290060169E12</v>
      </c>
      <c r="G914" s="1" t="s">
        <v>3630</v>
      </c>
      <c r="H914" s="5" t="s">
        <v>308</v>
      </c>
      <c r="I914" s="5" t="s">
        <v>57</v>
      </c>
      <c r="J914" s="5" t="s">
        <v>506</v>
      </c>
      <c r="K914" s="5" t="s">
        <v>523</v>
      </c>
      <c r="L914" s="5" t="s">
        <v>1309</v>
      </c>
    </row>
    <row r="915">
      <c r="A915" s="1" t="s">
        <v>3631</v>
      </c>
      <c r="B915" s="5" t="s">
        <v>3632</v>
      </c>
      <c r="C915" s="5" t="s">
        <v>76</v>
      </c>
      <c r="D915" s="5" t="s">
        <v>3633</v>
      </c>
      <c r="E915" s="36">
        <v>37622.0</v>
      </c>
      <c r="F915" s="5">
        <v>6.285175084825E12</v>
      </c>
      <c r="G915" s="1" t="s">
        <v>3634</v>
      </c>
      <c r="H915" s="5" t="s">
        <v>474</v>
      </c>
      <c r="I915" s="5" t="s">
        <v>57</v>
      </c>
      <c r="J915" s="5" t="s">
        <v>613</v>
      </c>
      <c r="K915" s="5" t="s">
        <v>3635</v>
      </c>
      <c r="L915" s="5" t="s">
        <v>697</v>
      </c>
    </row>
    <row r="916">
      <c r="A916" s="1" t="s">
        <v>3636</v>
      </c>
      <c r="B916" s="5" t="s">
        <v>3637</v>
      </c>
      <c r="C916" s="5" t="s">
        <v>53</v>
      </c>
      <c r="D916" s="5" t="s">
        <v>3638</v>
      </c>
      <c r="E916" s="36">
        <v>37080.0</v>
      </c>
      <c r="F916" s="5">
        <v>6.2898776362E11</v>
      </c>
      <c r="G916" s="1" t="s">
        <v>3639</v>
      </c>
      <c r="H916" s="5" t="s">
        <v>544</v>
      </c>
      <c r="I916" s="5" t="s">
        <v>57</v>
      </c>
      <c r="J916" s="5" t="s">
        <v>696</v>
      </c>
      <c r="K916" s="5" t="s">
        <v>697</v>
      </c>
      <c r="L916" s="5" t="s">
        <v>697</v>
      </c>
    </row>
    <row r="917">
      <c r="A917" s="1" t="s">
        <v>3640</v>
      </c>
      <c r="E917" s="35"/>
      <c r="G917" s="1"/>
    </row>
    <row r="918">
      <c r="A918" s="1" t="s">
        <v>3641</v>
      </c>
      <c r="B918" s="5" t="s">
        <v>3642</v>
      </c>
      <c r="C918" s="5" t="s">
        <v>53</v>
      </c>
      <c r="D918" s="5" t="s">
        <v>497</v>
      </c>
      <c r="E918" s="36">
        <v>37191.0</v>
      </c>
      <c r="F918" s="5">
        <v>6.281292192022E12</v>
      </c>
      <c r="G918" s="1" t="s">
        <v>3643</v>
      </c>
      <c r="H918" s="5" t="s">
        <v>544</v>
      </c>
      <c r="I918" s="5" t="s">
        <v>57</v>
      </c>
      <c r="J918" s="5" t="s">
        <v>696</v>
      </c>
      <c r="K918" s="5" t="s">
        <v>697</v>
      </c>
      <c r="L918" s="5" t="s">
        <v>697</v>
      </c>
    </row>
    <row r="919">
      <c r="A919" s="1" t="s">
        <v>3644</v>
      </c>
      <c r="B919" s="5" t="s">
        <v>3645</v>
      </c>
      <c r="C919" s="5" t="s">
        <v>76</v>
      </c>
      <c r="D919" s="5" t="s">
        <v>1918</v>
      </c>
      <c r="E919" s="36">
        <v>35588.0</v>
      </c>
      <c r="F919" s="5">
        <v>6.285349474857E12</v>
      </c>
      <c r="G919" s="1" t="s">
        <v>3646</v>
      </c>
      <c r="H919" s="5" t="s">
        <v>308</v>
      </c>
      <c r="I919" s="5" t="s">
        <v>57</v>
      </c>
      <c r="J919" s="5" t="s">
        <v>671</v>
      </c>
      <c r="K919" s="5" t="s">
        <v>529</v>
      </c>
      <c r="L919" s="5" t="s">
        <v>592</v>
      </c>
    </row>
    <row r="920">
      <c r="A920" s="2" t="s">
        <v>15</v>
      </c>
      <c r="B920" s="3" t="s">
        <v>3647</v>
      </c>
      <c r="C920" s="3" t="s">
        <v>53</v>
      </c>
      <c r="D920" s="3" t="s">
        <v>600</v>
      </c>
      <c r="E920" s="38">
        <v>36612.0</v>
      </c>
      <c r="F920" s="3">
        <v>6.28238672241E12</v>
      </c>
      <c r="G920" s="3" t="s">
        <v>14</v>
      </c>
      <c r="H920" s="3" t="s">
        <v>236</v>
      </c>
      <c r="I920" s="3" t="s">
        <v>57</v>
      </c>
      <c r="J920" s="3" t="s">
        <v>309</v>
      </c>
      <c r="K920" s="3" t="s">
        <v>3648</v>
      </c>
      <c r="L920" s="3" t="s">
        <v>2601</v>
      </c>
      <c r="M920" s="3" t="s">
        <v>61</v>
      </c>
      <c r="N920" s="3" t="s">
        <v>3649</v>
      </c>
      <c r="O920" s="3" t="s">
        <v>3650</v>
      </c>
      <c r="P920" s="17" t="s">
        <v>3651</v>
      </c>
      <c r="Q920" s="17" t="s">
        <v>3652</v>
      </c>
      <c r="S920" s="3" t="s">
        <v>198</v>
      </c>
      <c r="T920" s="3" t="s">
        <v>3653</v>
      </c>
      <c r="U920" s="3" t="s">
        <v>3654</v>
      </c>
      <c r="V920" s="3" t="s">
        <v>3655</v>
      </c>
      <c r="W920" s="3" t="s">
        <v>3656</v>
      </c>
      <c r="X920" s="3" t="s">
        <v>3657</v>
      </c>
      <c r="Y920" s="3" t="s">
        <v>494</v>
      </c>
      <c r="Z920" s="3" t="s">
        <v>3658</v>
      </c>
      <c r="AA920" s="3" t="s">
        <v>3659</v>
      </c>
      <c r="AB920" s="3" t="s">
        <v>3660</v>
      </c>
      <c r="AD920" s="3" t="s">
        <v>3661</v>
      </c>
      <c r="AE920" s="3" t="s">
        <v>3662</v>
      </c>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sheetData>
  <hyperlinks>
    <hyperlink r:id="rId2" ref="P2"/>
    <hyperlink r:id="rId3" ref="P3"/>
    <hyperlink r:id="rId4" ref="Q3"/>
    <hyperlink r:id="rId5" ref="P4"/>
    <hyperlink r:id="rId6" ref="P5"/>
    <hyperlink r:id="rId7" ref="P6"/>
    <hyperlink r:id="rId8" ref="P8"/>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5"/>
    <hyperlink r:id="rId34" ref="P36"/>
    <hyperlink r:id="rId35" ref="P37"/>
    <hyperlink r:id="rId36" ref="P39"/>
    <hyperlink r:id="rId37" ref="P40"/>
    <hyperlink r:id="rId38" ref="P41"/>
    <hyperlink r:id="rId39" ref="P42"/>
    <hyperlink r:id="rId40" ref="Q42"/>
    <hyperlink r:id="rId41" ref="P44"/>
    <hyperlink r:id="rId42" ref="P45"/>
    <hyperlink r:id="rId43" ref="P46"/>
    <hyperlink r:id="rId44" ref="P47"/>
    <hyperlink r:id="rId45" ref="P48"/>
    <hyperlink r:id="rId46" ref="P49"/>
    <hyperlink r:id="rId47" ref="P50"/>
    <hyperlink r:id="rId48" ref="P52"/>
    <hyperlink r:id="rId49" ref="P53"/>
    <hyperlink r:id="rId50" ref="P54"/>
    <hyperlink r:id="rId51" ref="P55"/>
    <hyperlink r:id="rId52" ref="P56"/>
    <hyperlink r:id="rId53" ref="P58"/>
    <hyperlink r:id="rId54" ref="P59"/>
    <hyperlink r:id="rId55" ref="P60"/>
    <hyperlink r:id="rId56" ref="P61"/>
    <hyperlink r:id="rId57" ref="P62"/>
    <hyperlink r:id="rId58" ref="P63"/>
    <hyperlink r:id="rId59" ref="P64"/>
    <hyperlink r:id="rId60" ref="P65"/>
    <hyperlink r:id="rId61" ref="P66"/>
    <hyperlink r:id="rId62" ref="P67"/>
    <hyperlink r:id="rId63" ref="P69"/>
    <hyperlink r:id="rId64" ref="P70"/>
    <hyperlink r:id="rId65" ref="P71"/>
    <hyperlink r:id="rId66" ref="P72"/>
    <hyperlink r:id="rId67" ref="P73"/>
    <hyperlink r:id="rId68" ref="P74"/>
    <hyperlink r:id="rId69" ref="P75"/>
    <hyperlink r:id="rId70" ref="P76"/>
    <hyperlink r:id="rId71" ref="P77"/>
    <hyperlink r:id="rId72" ref="P78"/>
    <hyperlink r:id="rId73" ref="P79"/>
    <hyperlink r:id="rId74" ref="P80"/>
    <hyperlink r:id="rId75" ref="P81"/>
    <hyperlink r:id="rId76" ref="P82"/>
    <hyperlink r:id="rId77" ref="P83"/>
    <hyperlink r:id="rId78" ref="Q83"/>
    <hyperlink r:id="rId79" ref="P920"/>
    <hyperlink r:id="rId80" ref="Q920"/>
  </hyperlinks>
  <drawing r:id="rId81"/>
  <legacyDrawing r:id="rId82"/>
  <tableParts count="2">
    <tablePart r:id="rId85"/>
    <tablePart r:id="rId8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3663</v>
      </c>
      <c r="B1" s="9" t="s">
        <v>3664</v>
      </c>
      <c r="C1" s="9" t="s">
        <v>16</v>
      </c>
      <c r="D1" s="8" t="s">
        <v>17</v>
      </c>
      <c r="E1" s="8" t="s">
        <v>18</v>
      </c>
      <c r="F1" s="8" t="s">
        <v>19</v>
      </c>
      <c r="G1" s="8" t="s">
        <v>20</v>
      </c>
      <c r="H1" s="8" t="s">
        <v>1</v>
      </c>
      <c r="I1" s="9" t="s">
        <v>2</v>
      </c>
      <c r="J1" s="9" t="s">
        <v>21</v>
      </c>
      <c r="K1" s="9" t="s">
        <v>22</v>
      </c>
      <c r="L1" s="8" t="s">
        <v>23</v>
      </c>
      <c r="M1" s="8" t="s">
        <v>24</v>
      </c>
      <c r="N1" s="8" t="s">
        <v>25</v>
      </c>
      <c r="O1" s="8" t="s">
        <v>26</v>
      </c>
      <c r="P1" s="8" t="s">
        <v>27</v>
      </c>
      <c r="Q1" s="9" t="s">
        <v>28</v>
      </c>
      <c r="R1" s="8" t="s">
        <v>29</v>
      </c>
      <c r="S1" s="8" t="s">
        <v>30</v>
      </c>
      <c r="T1" s="9" t="s">
        <v>31</v>
      </c>
      <c r="U1" s="8" t="s">
        <v>32</v>
      </c>
      <c r="V1" s="8" t="s">
        <v>33</v>
      </c>
      <c r="W1" s="8" t="s">
        <v>34</v>
      </c>
      <c r="X1" s="8" t="s">
        <v>35</v>
      </c>
      <c r="Y1" s="8" t="s">
        <v>36</v>
      </c>
      <c r="Z1" s="9" t="s">
        <v>37</v>
      </c>
      <c r="AA1" s="9" t="s">
        <v>38</v>
      </c>
      <c r="AB1" s="8" t="s">
        <v>39</v>
      </c>
      <c r="AC1" s="8" t="s">
        <v>40</v>
      </c>
      <c r="AD1" s="8" t="s">
        <v>41</v>
      </c>
      <c r="AE1" s="8" t="s">
        <v>42</v>
      </c>
      <c r="AF1" s="8" t="s">
        <v>43</v>
      </c>
      <c r="AG1" s="9" t="s">
        <v>44</v>
      </c>
    </row>
    <row r="2">
      <c r="A2" s="6">
        <v>45990.86981582176</v>
      </c>
      <c r="B2" s="3" t="s">
        <v>3665</v>
      </c>
      <c r="C2" s="3" t="s">
        <v>3666</v>
      </c>
      <c r="D2" s="3" t="s">
        <v>492</v>
      </c>
      <c r="E2" s="3" t="s">
        <v>537</v>
      </c>
      <c r="F2" s="19" t="s">
        <v>3667</v>
      </c>
      <c r="G2" s="19" t="s">
        <v>3668</v>
      </c>
      <c r="H2" s="3" t="s">
        <v>3669</v>
      </c>
      <c r="I2" s="3">
        <v>123456.0</v>
      </c>
      <c r="J2" s="3" t="s">
        <v>661</v>
      </c>
      <c r="K2" s="3" t="s">
        <v>57</v>
      </c>
      <c r="L2" s="3" t="s">
        <v>248</v>
      </c>
      <c r="M2" s="3" t="s">
        <v>268</v>
      </c>
      <c r="N2" s="3" t="s">
        <v>3670</v>
      </c>
      <c r="O2" s="3" t="s">
        <v>61</v>
      </c>
      <c r="P2" s="3" t="s">
        <v>3649</v>
      </c>
      <c r="Q2" s="3" t="s">
        <v>741</v>
      </c>
      <c r="R2" s="17" t="s">
        <v>3671</v>
      </c>
      <c r="T2" s="3" t="s">
        <v>506</v>
      </c>
      <c r="U2" s="3" t="s">
        <v>246</v>
      </c>
      <c r="V2" s="3" t="s">
        <v>247</v>
      </c>
      <c r="W2" s="3" t="s">
        <v>248</v>
      </c>
      <c r="AA2" s="3" t="s">
        <v>494</v>
      </c>
      <c r="AD2" s="3" t="s">
        <v>3672</v>
      </c>
      <c r="AG2" s="3" t="s">
        <v>3662</v>
      </c>
    </row>
  </sheetData>
  <hyperlinks>
    <hyperlink r:id="rId1" ref="R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4" max="5" width="18.5"/>
  </cols>
  <sheetData>
    <row r="1">
      <c r="A1" s="3" t="s">
        <v>3673</v>
      </c>
      <c r="B1" s="3" t="s">
        <v>3674</v>
      </c>
      <c r="C1" s="39" t="s">
        <v>3675</v>
      </c>
      <c r="D1" s="3" t="s">
        <v>3676</v>
      </c>
      <c r="E1" s="3" t="s">
        <v>3677</v>
      </c>
      <c r="F1" s="3" t="s">
        <v>3664</v>
      </c>
    </row>
    <row r="2">
      <c r="A2" s="3" t="s">
        <v>3678</v>
      </c>
      <c r="B2" s="3" t="s">
        <v>3679</v>
      </c>
      <c r="C2" s="39">
        <v>45912.0</v>
      </c>
      <c r="D2" s="3" t="s">
        <v>3680</v>
      </c>
      <c r="E2" s="3" t="s">
        <v>3681</v>
      </c>
      <c r="F2" s="3" t="s">
        <v>3682</v>
      </c>
    </row>
    <row r="3">
      <c r="C3" s="39"/>
      <c r="E3" s="40"/>
    </row>
    <row r="4">
      <c r="C4" s="39"/>
    </row>
    <row r="5">
      <c r="C5" s="39"/>
      <c r="E5" s="40"/>
    </row>
    <row r="6">
      <c r="C6" s="39"/>
    </row>
    <row r="7">
      <c r="C7" s="39"/>
      <c r="E7" s="40"/>
    </row>
    <row r="8">
      <c r="C8" s="39"/>
    </row>
    <row r="9">
      <c r="C9" s="39"/>
      <c r="E9" s="40"/>
    </row>
    <row r="10">
      <c r="C10" s="39"/>
    </row>
    <row r="11">
      <c r="C11" s="41"/>
    </row>
    <row r="12">
      <c r="C12" s="41"/>
    </row>
    <row r="13">
      <c r="C13" s="41"/>
    </row>
    <row r="14">
      <c r="C14" s="41"/>
    </row>
    <row r="15">
      <c r="C15" s="41"/>
    </row>
    <row r="16">
      <c r="C16" s="41"/>
    </row>
    <row r="17">
      <c r="C17" s="41"/>
    </row>
    <row r="18">
      <c r="C18" s="41"/>
    </row>
    <row r="19">
      <c r="C19" s="41"/>
    </row>
    <row r="20">
      <c r="C20" s="41"/>
    </row>
    <row r="21">
      <c r="C21" s="41"/>
    </row>
    <row r="22">
      <c r="C22" s="41"/>
    </row>
    <row r="23">
      <c r="C23" s="41"/>
    </row>
    <row r="24">
      <c r="C24" s="41"/>
    </row>
    <row r="25">
      <c r="C25" s="41"/>
    </row>
    <row r="26">
      <c r="C26" s="41"/>
    </row>
    <row r="27">
      <c r="C27" s="41"/>
    </row>
    <row r="28">
      <c r="C28" s="41"/>
    </row>
    <row r="29">
      <c r="C29" s="41"/>
    </row>
    <row r="30">
      <c r="C30" s="41"/>
    </row>
    <row r="31">
      <c r="C31" s="41"/>
    </row>
    <row r="32">
      <c r="C32" s="41"/>
    </row>
    <row r="33">
      <c r="C33" s="41"/>
    </row>
    <row r="34">
      <c r="C34" s="41"/>
    </row>
    <row r="35">
      <c r="C35" s="41"/>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row r="994">
      <c r="C994" s="41"/>
    </row>
    <row r="995">
      <c r="C995" s="41"/>
    </row>
    <row r="996">
      <c r="C996" s="41"/>
    </row>
    <row r="997">
      <c r="C997" s="41"/>
    </row>
    <row r="998">
      <c r="C998" s="41"/>
    </row>
    <row r="999">
      <c r="C999" s="41"/>
    </row>
    <row r="1000">
      <c r="C1000" s="41"/>
    </row>
  </sheetData>
  <dataValidations>
    <dataValidation type="list" allowBlank="1" showErrorMessage="1" sqref="F2">
      <formula1>"Buka,Tutup"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25"/>
  </cols>
  <sheetData>
    <row r="1">
      <c r="A1" s="3" t="s">
        <v>3663</v>
      </c>
      <c r="B1" s="3" t="s">
        <v>3673</v>
      </c>
      <c r="C1" s="3" t="s">
        <v>3674</v>
      </c>
      <c r="D1" s="3" t="s">
        <v>0</v>
      </c>
      <c r="E1" s="3" t="s">
        <v>9</v>
      </c>
      <c r="F1" s="3" t="s">
        <v>1</v>
      </c>
      <c r="G1" s="3" t="s">
        <v>3683</v>
      </c>
    </row>
    <row r="2">
      <c r="A2" s="6">
        <v>45999.79388725694</v>
      </c>
      <c r="B2" s="3" t="s">
        <v>3678</v>
      </c>
      <c r="C2" s="3" t="s">
        <v>3679</v>
      </c>
      <c r="D2" s="3" t="s">
        <v>231</v>
      </c>
      <c r="E2" s="3" t="s">
        <v>232</v>
      </c>
      <c r="F2" s="3" t="s">
        <v>235</v>
      </c>
      <c r="G2" s="19" t="s">
        <v>234</v>
      </c>
    </row>
    <row r="3">
      <c r="A3"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8.75"/>
    <col customWidth="1" min="3" max="3" width="11.88"/>
    <col customWidth="1" min="4" max="4" width="6.5"/>
    <col customWidth="1" min="5" max="5" width="14.88"/>
  </cols>
  <sheetData>
    <row r="1">
      <c r="A1" s="3" t="s">
        <v>3663</v>
      </c>
      <c r="B1" s="3" t="s">
        <v>1</v>
      </c>
      <c r="C1" s="3" t="s">
        <v>0</v>
      </c>
      <c r="D1" s="3" t="s">
        <v>3664</v>
      </c>
      <c r="E1" s="3" t="s">
        <v>3684</v>
      </c>
    </row>
    <row r="2">
      <c r="A2" s="6">
        <v>45990.728032430554</v>
      </c>
      <c r="B2" s="3" t="s">
        <v>235</v>
      </c>
      <c r="C2" s="3" t="s">
        <v>231</v>
      </c>
      <c r="D2" s="3" t="s">
        <v>3685</v>
      </c>
      <c r="E2" s="3" t="s">
        <v>3686</v>
      </c>
    </row>
    <row r="3">
      <c r="A3" s="6">
        <v>45990.729916620374</v>
      </c>
      <c r="B3" s="3" t="s">
        <v>121</v>
      </c>
      <c r="C3" s="3" t="s">
        <v>117</v>
      </c>
      <c r="D3" s="3" t="s">
        <v>3687</v>
      </c>
      <c r="E3" s="3" t="s">
        <v>3688</v>
      </c>
    </row>
    <row r="4">
      <c r="A4" s="6">
        <v>45990.7303246875</v>
      </c>
      <c r="B4" s="3" t="s">
        <v>121</v>
      </c>
      <c r="C4" s="3" t="s">
        <v>117</v>
      </c>
      <c r="D4" s="3" t="s">
        <v>3685</v>
      </c>
      <c r="E4" s="3" t="s">
        <v>3686</v>
      </c>
    </row>
    <row r="5">
      <c r="A5" s="6">
        <v>45990.73072465278</v>
      </c>
      <c r="B5" s="3" t="s">
        <v>235</v>
      </c>
      <c r="C5" s="3" t="s">
        <v>231</v>
      </c>
      <c r="D5" s="3" t="s">
        <v>3685</v>
      </c>
      <c r="E5" s="3" t="s">
        <v>3686</v>
      </c>
    </row>
    <row r="6">
      <c r="A6" s="6">
        <v>45990.7392800463</v>
      </c>
      <c r="B6" s="3" t="s">
        <v>235</v>
      </c>
      <c r="C6" s="3" t="s">
        <v>231</v>
      </c>
      <c r="D6" s="3" t="s">
        <v>3685</v>
      </c>
      <c r="E6" s="3" t="s">
        <v>3686</v>
      </c>
    </row>
    <row r="7">
      <c r="A7" s="6">
        <v>45990.73942341435</v>
      </c>
      <c r="B7" s="3" t="s">
        <v>330</v>
      </c>
      <c r="C7" s="3" t="s">
        <v>328</v>
      </c>
      <c r="D7" s="3" t="s">
        <v>3687</v>
      </c>
      <c r="E7" s="3" t="s">
        <v>3688</v>
      </c>
    </row>
    <row r="8">
      <c r="A8" s="6">
        <v>45990.73958608796</v>
      </c>
      <c r="B8" s="3" t="s">
        <v>330</v>
      </c>
      <c r="C8" s="3" t="s">
        <v>328</v>
      </c>
      <c r="D8" s="3" t="s">
        <v>3685</v>
      </c>
      <c r="E8" s="3" t="s">
        <v>3686</v>
      </c>
    </row>
    <row r="9">
      <c r="A9" s="6">
        <v>45990.74066001158</v>
      </c>
      <c r="B9" s="3" t="s">
        <v>235</v>
      </c>
      <c r="C9" s="3" t="s">
        <v>231</v>
      </c>
      <c r="D9" s="3" t="s">
        <v>3685</v>
      </c>
      <c r="E9" s="3" t="s">
        <v>3686</v>
      </c>
    </row>
    <row r="10">
      <c r="A10" s="6">
        <v>45990.74110006944</v>
      </c>
      <c r="B10" s="3" t="s">
        <v>287</v>
      </c>
      <c r="C10" s="3" t="s">
        <v>285</v>
      </c>
      <c r="D10" s="3" t="s">
        <v>3685</v>
      </c>
      <c r="E10" s="3" t="s">
        <v>3686</v>
      </c>
    </row>
    <row r="11">
      <c r="A11" s="6">
        <v>45990.75197997685</v>
      </c>
      <c r="B11" s="3" t="s">
        <v>287</v>
      </c>
      <c r="C11" s="3" t="s">
        <v>285</v>
      </c>
      <c r="D11" s="3" t="s">
        <v>3685</v>
      </c>
      <c r="E11" s="3" t="s">
        <v>3686</v>
      </c>
    </row>
    <row r="12">
      <c r="A12" s="6">
        <v>45990.753424027775</v>
      </c>
      <c r="B12" s="3" t="s">
        <v>235</v>
      </c>
      <c r="C12" s="3" t="s">
        <v>231</v>
      </c>
      <c r="D12" s="3" t="s">
        <v>3685</v>
      </c>
      <c r="E12" s="3" t="s">
        <v>3686</v>
      </c>
    </row>
    <row r="13">
      <c r="A13" s="6">
        <v>45990.756606678246</v>
      </c>
      <c r="B13" s="3" t="s">
        <v>287</v>
      </c>
      <c r="C13" s="3" t="s">
        <v>285</v>
      </c>
      <c r="D13" s="3" t="s">
        <v>3685</v>
      </c>
      <c r="E13" s="3" t="s">
        <v>3686</v>
      </c>
    </row>
    <row r="14">
      <c r="A14" s="6">
        <v>45990.77149238426</v>
      </c>
      <c r="B14" s="3" t="s">
        <v>428</v>
      </c>
      <c r="C14" s="3" t="s">
        <v>426</v>
      </c>
      <c r="D14" s="3" t="s">
        <v>3687</v>
      </c>
      <c r="E14" s="3" t="s">
        <v>3688</v>
      </c>
    </row>
    <row r="15">
      <c r="A15" s="6">
        <v>45990.7781296412</v>
      </c>
      <c r="B15" s="3" t="s">
        <v>334</v>
      </c>
      <c r="C15" s="3" t="s">
        <v>332</v>
      </c>
      <c r="D15" s="3" t="s">
        <v>3685</v>
      </c>
      <c r="E15" s="3" t="s">
        <v>3686</v>
      </c>
    </row>
    <row r="16">
      <c r="A16" s="6">
        <v>45990.81597333333</v>
      </c>
      <c r="B16" s="3" t="s">
        <v>7</v>
      </c>
      <c r="C16" s="3" t="s">
        <v>6</v>
      </c>
      <c r="D16" s="3" t="s">
        <v>3687</v>
      </c>
      <c r="E16" s="3" t="s">
        <v>3688</v>
      </c>
    </row>
    <row r="17">
      <c r="A17" s="6">
        <v>45990.81611565972</v>
      </c>
      <c r="B17" s="3" t="s">
        <v>7</v>
      </c>
      <c r="C17" s="3" t="s">
        <v>6</v>
      </c>
      <c r="D17" s="3" t="s">
        <v>3685</v>
      </c>
      <c r="E17" s="3" t="s">
        <v>3686</v>
      </c>
    </row>
    <row r="18">
      <c r="A18" s="6">
        <v>45990.81825200231</v>
      </c>
      <c r="B18" s="3" t="s">
        <v>3689</v>
      </c>
      <c r="C18" s="3" t="s">
        <v>371</v>
      </c>
      <c r="D18" s="3" t="s">
        <v>3687</v>
      </c>
      <c r="E18" s="3" t="s">
        <v>3688</v>
      </c>
    </row>
    <row r="19">
      <c r="A19" s="6">
        <v>45990.82090143519</v>
      </c>
      <c r="B19" s="3" t="s">
        <v>3689</v>
      </c>
      <c r="C19" s="3" t="s">
        <v>371</v>
      </c>
      <c r="D19" s="3" t="s">
        <v>3685</v>
      </c>
      <c r="E19" s="3" t="s">
        <v>3686</v>
      </c>
    </row>
    <row r="20">
      <c r="A20" s="6">
        <v>45990.820945</v>
      </c>
      <c r="B20" s="3" t="s">
        <v>3689</v>
      </c>
      <c r="C20" s="3" t="s">
        <v>371</v>
      </c>
      <c r="D20" s="3" t="s">
        <v>3685</v>
      </c>
      <c r="E20" s="3" t="s">
        <v>3686</v>
      </c>
    </row>
    <row r="21">
      <c r="A21" s="6">
        <v>45990.823748194445</v>
      </c>
      <c r="B21" s="3" t="s">
        <v>7</v>
      </c>
      <c r="C21" s="3" t="s">
        <v>6</v>
      </c>
      <c r="D21" s="3" t="s">
        <v>3685</v>
      </c>
      <c r="E21" s="3" t="s">
        <v>3686</v>
      </c>
    </row>
    <row r="22">
      <c r="A22" s="6">
        <v>45990.87050567129</v>
      </c>
      <c r="B22" s="3" t="s">
        <v>7</v>
      </c>
      <c r="C22" s="3" t="s">
        <v>6</v>
      </c>
      <c r="D22" s="3" t="s">
        <v>3687</v>
      </c>
      <c r="E22" s="3" t="s">
        <v>3688</v>
      </c>
    </row>
    <row r="23">
      <c r="A23" s="6">
        <v>45990.87060259259</v>
      </c>
      <c r="B23" s="3" t="s">
        <v>7</v>
      </c>
      <c r="C23" s="3" t="s">
        <v>6</v>
      </c>
      <c r="D23" s="3" t="s">
        <v>3685</v>
      </c>
      <c r="E23" s="3" t="s">
        <v>3686</v>
      </c>
    </row>
    <row r="24">
      <c r="A24" s="6">
        <v>45991.026371875</v>
      </c>
      <c r="B24" s="3" t="s">
        <v>121</v>
      </c>
      <c r="C24" s="3" t="s">
        <v>117</v>
      </c>
      <c r="D24" s="3" t="s">
        <v>3687</v>
      </c>
      <c r="E24" s="3" t="s">
        <v>3688</v>
      </c>
    </row>
    <row r="25">
      <c r="A25" s="6">
        <v>45991.026487372685</v>
      </c>
      <c r="B25" s="3" t="s">
        <v>121</v>
      </c>
      <c r="C25" s="3" t="s">
        <v>117</v>
      </c>
      <c r="D25" s="3" t="s">
        <v>3685</v>
      </c>
      <c r="E25" s="3" t="s">
        <v>3686</v>
      </c>
    </row>
    <row r="26">
      <c r="A26" s="6">
        <v>45992.456091423606</v>
      </c>
      <c r="B26" s="3" t="s">
        <v>322</v>
      </c>
      <c r="C26" s="3" t="s">
        <v>320</v>
      </c>
      <c r="D26" s="3" t="s">
        <v>3687</v>
      </c>
      <c r="E26" s="3" t="s">
        <v>3688</v>
      </c>
    </row>
    <row r="27">
      <c r="A27" s="6">
        <v>45992.45623165509</v>
      </c>
      <c r="B27" s="3" t="s">
        <v>322</v>
      </c>
      <c r="C27" s="3" t="s">
        <v>320</v>
      </c>
      <c r="D27" s="3" t="s">
        <v>3685</v>
      </c>
      <c r="E27" s="3" t="s">
        <v>3686</v>
      </c>
    </row>
    <row r="28">
      <c r="A28" s="6">
        <v>45992.45699265046</v>
      </c>
      <c r="B28" s="3" t="s">
        <v>322</v>
      </c>
      <c r="C28" s="3" t="s">
        <v>320</v>
      </c>
      <c r="D28" s="3" t="s">
        <v>3685</v>
      </c>
      <c r="E28" s="3" t="s">
        <v>3686</v>
      </c>
    </row>
    <row r="29">
      <c r="A29" s="6">
        <v>45992.45726231481</v>
      </c>
      <c r="B29" s="3" t="s">
        <v>235</v>
      </c>
      <c r="C29" s="3" t="s">
        <v>231</v>
      </c>
      <c r="D29" s="3" t="s">
        <v>3685</v>
      </c>
      <c r="E29" s="3" t="s">
        <v>3686</v>
      </c>
    </row>
    <row r="30">
      <c r="A30" s="6">
        <v>45992.457325787036</v>
      </c>
      <c r="B30" s="3" t="s">
        <v>292</v>
      </c>
      <c r="C30" s="3" t="s">
        <v>289</v>
      </c>
      <c r="D30" s="3" t="s">
        <v>3685</v>
      </c>
      <c r="E30" s="3" t="s">
        <v>3686</v>
      </c>
    </row>
    <row r="31">
      <c r="A31" s="6">
        <v>45995.429192511576</v>
      </c>
      <c r="B31" s="3" t="s">
        <v>204</v>
      </c>
      <c r="C31" s="3" t="s">
        <v>202</v>
      </c>
      <c r="D31" s="3" t="s">
        <v>3685</v>
      </c>
      <c r="E31" s="3" t="s">
        <v>3686</v>
      </c>
    </row>
    <row r="32">
      <c r="A32" s="6">
        <v>45999.74786256945</v>
      </c>
      <c r="B32" s="3" t="s">
        <v>322</v>
      </c>
      <c r="C32" s="3" t="s">
        <v>320</v>
      </c>
      <c r="D32" s="3" t="s">
        <v>3685</v>
      </c>
      <c r="E32" s="3" t="s">
        <v>3686</v>
      </c>
    </row>
    <row r="33">
      <c r="A33" s="6">
        <v>45999.747959988425</v>
      </c>
      <c r="B33" s="3" t="s">
        <v>235</v>
      </c>
      <c r="C33" s="3" t="s">
        <v>231</v>
      </c>
      <c r="D33" s="3" t="s">
        <v>3685</v>
      </c>
      <c r="E33" s="3" t="s">
        <v>3686</v>
      </c>
    </row>
    <row r="34">
      <c r="A34" s="6">
        <v>45999.74867002315</v>
      </c>
      <c r="B34" s="3" t="s">
        <v>235</v>
      </c>
      <c r="C34" s="3" t="s">
        <v>231</v>
      </c>
      <c r="D34" s="3" t="s">
        <v>3685</v>
      </c>
      <c r="E34" s="3" t="s">
        <v>3686</v>
      </c>
    </row>
    <row r="35">
      <c r="A35" s="6">
        <v>45999.78081431713</v>
      </c>
      <c r="B35" s="3" t="s">
        <v>235</v>
      </c>
      <c r="C35" s="3" t="s">
        <v>231</v>
      </c>
      <c r="D35" s="3" t="s">
        <v>3685</v>
      </c>
      <c r="E35" s="3" t="s">
        <v>3686</v>
      </c>
    </row>
    <row r="36">
      <c r="A36" s="6">
        <v>45999.78208402778</v>
      </c>
      <c r="B36" s="3" t="s">
        <v>235</v>
      </c>
      <c r="C36" s="3" t="s">
        <v>231</v>
      </c>
      <c r="D36" s="3" t="s">
        <v>3685</v>
      </c>
      <c r="E36" s="3" t="s">
        <v>3686</v>
      </c>
    </row>
    <row r="37">
      <c r="A37" s="6">
        <v>45999.78740918981</v>
      </c>
      <c r="B37" s="3" t="s">
        <v>235</v>
      </c>
      <c r="C37" s="3" t="s">
        <v>231</v>
      </c>
      <c r="D37" s="3" t="s">
        <v>3685</v>
      </c>
      <c r="E37" s="3" t="s">
        <v>3686</v>
      </c>
    </row>
    <row r="38">
      <c r="A38" s="6">
        <v>45999.79018578704</v>
      </c>
      <c r="B38" s="3" t="s">
        <v>235</v>
      </c>
      <c r="C38" s="3" t="s">
        <v>231</v>
      </c>
      <c r="D38" s="3" t="s">
        <v>3685</v>
      </c>
      <c r="E38" s="3" t="s">
        <v>3686</v>
      </c>
    </row>
    <row r="39">
      <c r="A39" s="6">
        <v>45999.79225296296</v>
      </c>
      <c r="B39" s="3" t="s">
        <v>235</v>
      </c>
      <c r="C39" s="3" t="s">
        <v>231</v>
      </c>
      <c r="D39" s="3" t="s">
        <v>3685</v>
      </c>
      <c r="E39" s="3" t="s">
        <v>3686</v>
      </c>
    </row>
    <row r="40">
      <c r="A40" s="6">
        <v>45999.81488263889</v>
      </c>
      <c r="B40" s="3" t="s">
        <v>235</v>
      </c>
      <c r="C40" s="3" t="s">
        <v>231</v>
      </c>
      <c r="D40" s="3" t="s">
        <v>3685</v>
      </c>
      <c r="E40" s="3" t="s">
        <v>3686</v>
      </c>
    </row>
    <row r="41">
      <c r="A41" s="6">
        <v>45999.81505020833</v>
      </c>
      <c r="B41" s="3" t="s">
        <v>235</v>
      </c>
      <c r="C41" s="3" t="s">
        <v>231</v>
      </c>
      <c r="D41" s="3" t="s">
        <v>3685</v>
      </c>
      <c r="E41" s="3" t="s">
        <v>3686</v>
      </c>
    </row>
    <row r="42">
      <c r="A42" s="6">
        <v>45999.84031576389</v>
      </c>
      <c r="B42" s="3" t="s">
        <v>235</v>
      </c>
      <c r="C42" s="3" t="s">
        <v>231</v>
      </c>
      <c r="D42" s="3" t="s">
        <v>3685</v>
      </c>
      <c r="E42" s="3" t="s">
        <v>3686</v>
      </c>
    </row>
    <row r="43">
      <c r="A43" s="6">
        <v>45999.84927554398</v>
      </c>
      <c r="B43" s="3" t="s">
        <v>235</v>
      </c>
      <c r="C43" s="3" t="s">
        <v>231</v>
      </c>
      <c r="D43" s="3" t="s">
        <v>3685</v>
      </c>
      <c r="E43" s="3" t="s">
        <v>3686</v>
      </c>
    </row>
    <row r="44">
      <c r="A44" s="6">
        <v>45999.84993545139</v>
      </c>
      <c r="B44" s="3" t="s">
        <v>235</v>
      </c>
      <c r="C44" s="3" t="s">
        <v>231</v>
      </c>
      <c r="D44" s="3" t="s">
        <v>3685</v>
      </c>
      <c r="E44" s="3" t="s">
        <v>3686</v>
      </c>
    </row>
    <row r="45">
      <c r="A45" s="6">
        <v>45999.85360929398</v>
      </c>
      <c r="B45" s="3" t="s">
        <v>235</v>
      </c>
      <c r="C45" s="3" t="s">
        <v>231</v>
      </c>
      <c r="D45" s="3" t="s">
        <v>3685</v>
      </c>
      <c r="E45" s="3" t="s">
        <v>3686</v>
      </c>
    </row>
    <row r="46">
      <c r="A46" s="6">
        <v>45999.85591481482</v>
      </c>
      <c r="B46" s="3" t="s">
        <v>235</v>
      </c>
      <c r="C46" s="3" t="s">
        <v>231</v>
      </c>
      <c r="D46" s="3" t="s">
        <v>3685</v>
      </c>
      <c r="E46" s="3" t="s">
        <v>3686</v>
      </c>
    </row>
    <row r="47">
      <c r="A47" s="6">
        <v>45999.86016575231</v>
      </c>
      <c r="B47" s="3" t="s">
        <v>235</v>
      </c>
      <c r="C47" s="3" t="s">
        <v>231</v>
      </c>
      <c r="D47" s="3" t="s">
        <v>3685</v>
      </c>
      <c r="E47" s="3" t="s">
        <v>3686</v>
      </c>
    </row>
    <row r="48">
      <c r="A48" s="6">
        <v>45999.86120907408</v>
      </c>
      <c r="B48" s="3" t="s">
        <v>235</v>
      </c>
      <c r="C48" s="3" t="s">
        <v>231</v>
      </c>
      <c r="D48" s="3" t="s">
        <v>3685</v>
      </c>
      <c r="E48" s="3" t="s">
        <v>3686</v>
      </c>
    </row>
    <row r="49">
      <c r="A49" s="6">
        <v>45999.863718125</v>
      </c>
      <c r="B49" s="3" t="s">
        <v>235</v>
      </c>
      <c r="C49" s="3" t="s">
        <v>231</v>
      </c>
      <c r="D49" s="3" t="s">
        <v>3685</v>
      </c>
      <c r="E49" s="3" t="s">
        <v>3686</v>
      </c>
    </row>
    <row r="50">
      <c r="A50" s="6">
        <v>45999.87618453703</v>
      </c>
      <c r="B50" s="3" t="s">
        <v>235</v>
      </c>
      <c r="C50" s="3" t="s">
        <v>231</v>
      </c>
      <c r="D50" s="3" t="s">
        <v>3685</v>
      </c>
      <c r="E50" s="3" t="s">
        <v>3686</v>
      </c>
    </row>
    <row r="51">
      <c r="A51" s="6">
        <v>45999.87775436342</v>
      </c>
      <c r="B51" s="3" t="s">
        <v>235</v>
      </c>
      <c r="C51" s="3" t="s">
        <v>231</v>
      </c>
      <c r="D51" s="3" t="s">
        <v>3685</v>
      </c>
      <c r="E51" s="3" t="s">
        <v>3686</v>
      </c>
    </row>
    <row r="52">
      <c r="A52" s="6">
        <v>45999.878885</v>
      </c>
      <c r="B52" s="3" t="s">
        <v>235</v>
      </c>
      <c r="C52" s="3" t="s">
        <v>231</v>
      </c>
      <c r="D52" s="3" t="s">
        <v>3685</v>
      </c>
      <c r="E52" s="3" t="s">
        <v>3686</v>
      </c>
    </row>
    <row r="53">
      <c r="A53" s="6">
        <v>45999.88164813658</v>
      </c>
      <c r="B53" s="3" t="s">
        <v>235</v>
      </c>
      <c r="C53" s="3" t="s">
        <v>231</v>
      </c>
      <c r="D53" s="3" t="s">
        <v>3685</v>
      </c>
      <c r="E53" s="3" t="s">
        <v>3686</v>
      </c>
    </row>
    <row r="54">
      <c r="A54" s="6">
        <v>45999.884745393516</v>
      </c>
      <c r="B54" s="3" t="s">
        <v>235</v>
      </c>
      <c r="C54" s="3" t="s">
        <v>231</v>
      </c>
      <c r="D54" s="3" t="s">
        <v>3685</v>
      </c>
      <c r="E54" s="3" t="s">
        <v>3686</v>
      </c>
    </row>
    <row r="55">
      <c r="A55" s="6">
        <v>45999.886495451385</v>
      </c>
      <c r="B55" s="3" t="s">
        <v>235</v>
      </c>
      <c r="C55" s="3" t="s">
        <v>231</v>
      </c>
      <c r="D55" s="3" t="s">
        <v>3685</v>
      </c>
      <c r="E55" s="3" t="s">
        <v>3686</v>
      </c>
    </row>
    <row r="56">
      <c r="A56" s="6">
        <v>45999.88777748843</v>
      </c>
      <c r="B56" s="3" t="s">
        <v>235</v>
      </c>
      <c r="C56" s="3" t="s">
        <v>231</v>
      </c>
      <c r="D56" s="3" t="s">
        <v>3685</v>
      </c>
      <c r="E56" s="3" t="s">
        <v>3686</v>
      </c>
    </row>
    <row r="57">
      <c r="A57" s="6">
        <v>45999.890163460645</v>
      </c>
      <c r="B57" s="3" t="s">
        <v>235</v>
      </c>
      <c r="C57" s="3" t="s">
        <v>231</v>
      </c>
      <c r="D57" s="3" t="s">
        <v>3685</v>
      </c>
      <c r="E57" s="3" t="s">
        <v>3686</v>
      </c>
    </row>
    <row r="58">
      <c r="A58" s="6">
        <v>45999.89041640046</v>
      </c>
      <c r="B58" s="3" t="s">
        <v>235</v>
      </c>
      <c r="C58" s="3" t="s">
        <v>231</v>
      </c>
      <c r="D58" s="3" t="s">
        <v>3685</v>
      </c>
      <c r="E58" s="3" t="s">
        <v>3686</v>
      </c>
    </row>
    <row r="59">
      <c r="A59" s="6">
        <v>45999.89076326389</v>
      </c>
      <c r="B59" s="3" t="s">
        <v>204</v>
      </c>
      <c r="C59" s="3" t="s">
        <v>202</v>
      </c>
      <c r="D59" s="3" t="s">
        <v>3685</v>
      </c>
      <c r="E59" s="3" t="s">
        <v>3686</v>
      </c>
    </row>
    <row r="60">
      <c r="A60" s="6">
        <v>45999.89167508102</v>
      </c>
      <c r="B60" s="3" t="s">
        <v>235</v>
      </c>
      <c r="C60" s="3" t="s">
        <v>231</v>
      </c>
      <c r="D60" s="3" t="s">
        <v>3685</v>
      </c>
      <c r="E60" s="3" t="s">
        <v>3686</v>
      </c>
    </row>
    <row r="61">
      <c r="A61" s="6">
        <v>45999.90136604167</v>
      </c>
      <c r="B61" s="3" t="s">
        <v>7</v>
      </c>
      <c r="C61" s="3" t="s">
        <v>6</v>
      </c>
      <c r="D61" s="3" t="s">
        <v>3685</v>
      </c>
      <c r="E61" s="3" t="s">
        <v>3686</v>
      </c>
    </row>
    <row r="62">
      <c r="A62" s="6">
        <v>45999.901806423615</v>
      </c>
      <c r="B62" s="3" t="s">
        <v>7</v>
      </c>
      <c r="C62" s="3" t="s">
        <v>6</v>
      </c>
      <c r="D62" s="3" t="s">
        <v>3685</v>
      </c>
      <c r="E62" s="3" t="s">
        <v>3686</v>
      </c>
    </row>
    <row r="63">
      <c r="A63" s="6">
        <v>45999.90668583333</v>
      </c>
      <c r="B63" s="3" t="s">
        <v>7</v>
      </c>
      <c r="C63" s="3" t="s">
        <v>6</v>
      </c>
      <c r="D63" s="3" t="s">
        <v>3685</v>
      </c>
      <c r="E63" s="3" t="s">
        <v>3686</v>
      </c>
    </row>
    <row r="64">
      <c r="A64" s="6">
        <v>45999.9068102662</v>
      </c>
      <c r="B64" s="3" t="s">
        <v>235</v>
      </c>
      <c r="C64" s="3" t="s">
        <v>231</v>
      </c>
      <c r="D64" s="3" t="s">
        <v>3685</v>
      </c>
      <c r="E64" s="3" t="s">
        <v>3686</v>
      </c>
    </row>
    <row r="65">
      <c r="A65" s="6">
        <v>46000.75202809028</v>
      </c>
      <c r="B65" s="3" t="s">
        <v>235</v>
      </c>
      <c r="C65" s="3" t="s">
        <v>231</v>
      </c>
      <c r="D65" s="3" t="s">
        <v>3685</v>
      </c>
      <c r="E65" s="3" t="s">
        <v>3686</v>
      </c>
    </row>
    <row r="66">
      <c r="A66" s="6">
        <v>46007.59818457176</v>
      </c>
      <c r="B66" s="3" t="s">
        <v>322</v>
      </c>
      <c r="C66" s="3" t="s">
        <v>320</v>
      </c>
      <c r="D66" s="3" t="s">
        <v>3685</v>
      </c>
      <c r="E66" s="3" t="s">
        <v>3686</v>
      </c>
    </row>
    <row r="67">
      <c r="A67" s="6">
        <v>46007.60006732639</v>
      </c>
      <c r="B67" s="3" t="s">
        <v>322</v>
      </c>
      <c r="C67" s="3" t="s">
        <v>320</v>
      </c>
      <c r="D67" s="3" t="s">
        <v>3685</v>
      </c>
      <c r="E67" s="3" t="s">
        <v>3686</v>
      </c>
    </row>
    <row r="68">
      <c r="A68" s="6">
        <v>46007.803606828704</v>
      </c>
      <c r="B68" s="3" t="s">
        <v>235</v>
      </c>
      <c r="C68" s="3" t="s">
        <v>231</v>
      </c>
      <c r="D68" s="3" t="s">
        <v>3685</v>
      </c>
      <c r="E68" s="3" t="s">
        <v>3686</v>
      </c>
    </row>
    <row r="69">
      <c r="A69" s="6">
        <v>46007.81098734954</v>
      </c>
      <c r="B69" s="3" t="s">
        <v>235</v>
      </c>
      <c r="C69" s="3" t="s">
        <v>231</v>
      </c>
      <c r="D69" s="3" t="s">
        <v>3685</v>
      </c>
      <c r="E69" s="3" t="s">
        <v>3686</v>
      </c>
    </row>
    <row r="70">
      <c r="A70" s="6">
        <v>46008.753797337966</v>
      </c>
      <c r="B70" s="3" t="s">
        <v>72</v>
      </c>
      <c r="C70" s="3" t="s">
        <v>70</v>
      </c>
      <c r="D70" s="3" t="s">
        <v>3685</v>
      </c>
      <c r="E70" s="3" t="s">
        <v>3686</v>
      </c>
    </row>
    <row r="71">
      <c r="A71" s="6">
        <v>46008.75411877315</v>
      </c>
      <c r="B71" s="3" t="s">
        <v>266</v>
      </c>
      <c r="C71" s="3" t="s">
        <v>263</v>
      </c>
      <c r="D71" s="3" t="s">
        <v>3685</v>
      </c>
      <c r="E71" s="3" t="s">
        <v>3686</v>
      </c>
    </row>
    <row r="72">
      <c r="A72" s="6">
        <v>46008.75753209491</v>
      </c>
      <c r="B72" s="3" t="s">
        <v>72</v>
      </c>
      <c r="C72" s="3" t="s">
        <v>70</v>
      </c>
      <c r="D72" s="3" t="s">
        <v>3685</v>
      </c>
      <c r="E72" s="3" t="s">
        <v>3686</v>
      </c>
    </row>
    <row r="73">
      <c r="A73" s="6">
        <v>46008.76007056713</v>
      </c>
      <c r="B73" s="3" t="s">
        <v>384</v>
      </c>
      <c r="C73" s="3" t="s">
        <v>381</v>
      </c>
      <c r="D73" s="3" t="s">
        <v>3685</v>
      </c>
      <c r="E73" s="3" t="s">
        <v>3686</v>
      </c>
    </row>
    <row r="74">
      <c r="A74" s="6">
        <v>46008.760513472225</v>
      </c>
      <c r="B74" s="3" t="s">
        <v>456</v>
      </c>
      <c r="C74" s="3" t="s">
        <v>453</v>
      </c>
      <c r="D74" s="3" t="s">
        <v>3685</v>
      </c>
      <c r="E74" s="3" t="s">
        <v>3686</v>
      </c>
    </row>
    <row r="75">
      <c r="A75" s="6">
        <v>46008.76220981481</v>
      </c>
      <c r="B75" s="3" t="s">
        <v>92</v>
      </c>
      <c r="C75" s="3" t="s">
        <v>90</v>
      </c>
      <c r="D75" s="3" t="s">
        <v>3685</v>
      </c>
      <c r="E75" s="3" t="s">
        <v>3686</v>
      </c>
    </row>
    <row r="76">
      <c r="A76" s="6">
        <v>46008.76256498843</v>
      </c>
      <c r="B76" s="3" t="s">
        <v>283</v>
      </c>
      <c r="C76" s="3" t="s">
        <v>281</v>
      </c>
      <c r="D76" s="3" t="s">
        <v>3685</v>
      </c>
      <c r="E76" s="3" t="s">
        <v>3686</v>
      </c>
    </row>
    <row r="77">
      <c r="A77" s="6">
        <v>46008.76268850695</v>
      </c>
      <c r="B77" s="3" t="s">
        <v>384</v>
      </c>
      <c r="C77" s="3" t="s">
        <v>381</v>
      </c>
      <c r="D77" s="3" t="s">
        <v>3685</v>
      </c>
      <c r="E77" s="3" t="s">
        <v>3686</v>
      </c>
    </row>
    <row r="78">
      <c r="A78" s="6">
        <v>46008.763446620374</v>
      </c>
      <c r="B78" s="3" t="s">
        <v>7</v>
      </c>
      <c r="C78" s="3" t="s">
        <v>6</v>
      </c>
      <c r="D78" s="3" t="s">
        <v>3685</v>
      </c>
      <c r="E78" s="3" t="s">
        <v>3686</v>
      </c>
    </row>
    <row r="79">
      <c r="A79" s="6">
        <v>46008.76407053241</v>
      </c>
      <c r="B79" s="3" t="s">
        <v>384</v>
      </c>
      <c r="C79" s="3" t="s">
        <v>381</v>
      </c>
      <c r="D79" s="3" t="s">
        <v>3685</v>
      </c>
      <c r="E79" s="3" t="s">
        <v>3686</v>
      </c>
    </row>
    <row r="80">
      <c r="A80" s="6">
        <v>46008.764377037034</v>
      </c>
      <c r="B80" s="3" t="s">
        <v>292</v>
      </c>
      <c r="C80" s="3" t="s">
        <v>289</v>
      </c>
      <c r="D80" s="3" t="s">
        <v>3685</v>
      </c>
      <c r="E80" s="3" t="s">
        <v>3686</v>
      </c>
    </row>
    <row r="81">
      <c r="A81" s="6">
        <v>46008.76467444444</v>
      </c>
      <c r="B81" s="3" t="s">
        <v>72</v>
      </c>
      <c r="C81" s="3" t="s">
        <v>70</v>
      </c>
      <c r="D81" s="3" t="s">
        <v>3685</v>
      </c>
      <c r="E81" s="3" t="s">
        <v>3686</v>
      </c>
    </row>
    <row r="82">
      <c r="A82" s="6">
        <v>46008.765261875</v>
      </c>
      <c r="B82" s="3" t="s">
        <v>456</v>
      </c>
      <c r="C82" s="3" t="s">
        <v>453</v>
      </c>
      <c r="D82" s="3" t="s">
        <v>3685</v>
      </c>
      <c r="E82" s="3" t="s">
        <v>3686</v>
      </c>
    </row>
    <row r="83">
      <c r="A83" s="6">
        <v>46008.767514861116</v>
      </c>
      <c r="B83" s="3" t="s">
        <v>180</v>
      </c>
      <c r="C83" s="3" t="s">
        <v>178</v>
      </c>
      <c r="D83" s="3" t="s">
        <v>3685</v>
      </c>
      <c r="E83" s="3" t="s">
        <v>3686</v>
      </c>
    </row>
    <row r="84">
      <c r="A84" s="6">
        <v>46008.76780074074</v>
      </c>
      <c r="B84" s="3" t="s">
        <v>456</v>
      </c>
      <c r="C84" s="3" t="s">
        <v>453</v>
      </c>
      <c r="D84" s="3" t="s">
        <v>3685</v>
      </c>
      <c r="E84" s="3" t="s">
        <v>3686</v>
      </c>
    </row>
    <row r="85">
      <c r="A85" s="6">
        <v>46008.76781858796</v>
      </c>
      <c r="B85" s="3" t="s">
        <v>180</v>
      </c>
      <c r="D85" s="3" t="s">
        <v>3687</v>
      </c>
      <c r="E85" s="3" t="s">
        <v>3690</v>
      </c>
    </row>
    <row r="86">
      <c r="A86" s="6">
        <v>46008.767824166665</v>
      </c>
      <c r="B86" s="3" t="s">
        <v>3691</v>
      </c>
      <c r="C86" s="3" t="s">
        <v>186</v>
      </c>
      <c r="D86" s="3" t="s">
        <v>3687</v>
      </c>
      <c r="E86" s="3" t="s">
        <v>3688</v>
      </c>
    </row>
    <row r="87">
      <c r="A87" s="6">
        <v>46008.76795037037</v>
      </c>
      <c r="B87" s="3" t="s">
        <v>180</v>
      </c>
      <c r="C87" s="3" t="s">
        <v>178</v>
      </c>
      <c r="D87" s="3" t="s">
        <v>3685</v>
      </c>
      <c r="E87" s="3" t="s">
        <v>3686</v>
      </c>
    </row>
    <row r="88">
      <c r="A88" s="6">
        <v>46008.76845685185</v>
      </c>
      <c r="B88" s="3" t="s">
        <v>307</v>
      </c>
      <c r="C88" s="3" t="s">
        <v>304</v>
      </c>
      <c r="D88" s="3" t="s">
        <v>3685</v>
      </c>
      <c r="E88" s="3" t="s">
        <v>3686</v>
      </c>
    </row>
    <row r="89">
      <c r="A89" s="6">
        <v>46008.76960679398</v>
      </c>
      <c r="B89" s="3" t="s">
        <v>55</v>
      </c>
      <c r="C89" s="3" t="s">
        <v>51</v>
      </c>
      <c r="D89" s="3" t="s">
        <v>3685</v>
      </c>
      <c r="E89" s="3" t="s">
        <v>3686</v>
      </c>
    </row>
    <row r="90">
      <c r="A90" s="6">
        <v>46008.77038960648</v>
      </c>
      <c r="B90" s="3" t="s">
        <v>307</v>
      </c>
      <c r="C90" s="3" t="s">
        <v>304</v>
      </c>
      <c r="D90" s="3" t="s">
        <v>3685</v>
      </c>
      <c r="E90" s="3" t="s">
        <v>3686</v>
      </c>
    </row>
    <row r="91">
      <c r="A91" s="6">
        <v>46008.77085943287</v>
      </c>
      <c r="B91" s="3" t="s">
        <v>211</v>
      </c>
      <c r="C91" s="3" t="s">
        <v>209</v>
      </c>
      <c r="D91" s="3" t="s">
        <v>3685</v>
      </c>
      <c r="E91" s="3" t="s">
        <v>3686</v>
      </c>
    </row>
    <row r="92">
      <c r="A92" s="6">
        <v>46008.77148146991</v>
      </c>
      <c r="B92" s="3" t="s">
        <v>55</v>
      </c>
      <c r="C92" s="3" t="s">
        <v>51</v>
      </c>
      <c r="D92" s="3" t="s">
        <v>3685</v>
      </c>
      <c r="E92" s="3" t="s">
        <v>3686</v>
      </c>
    </row>
    <row r="93">
      <c r="A93" s="6">
        <v>46008.77183640046</v>
      </c>
      <c r="B93" s="3" t="s">
        <v>437</v>
      </c>
      <c r="C93" s="3" t="s">
        <v>434</v>
      </c>
      <c r="D93" s="3" t="s">
        <v>3685</v>
      </c>
      <c r="E93" s="3" t="s">
        <v>3686</v>
      </c>
    </row>
    <row r="94">
      <c r="A94" s="6">
        <v>46008.77247043981</v>
      </c>
      <c r="B94" s="3" t="s">
        <v>3691</v>
      </c>
      <c r="C94" s="3" t="s">
        <v>186</v>
      </c>
      <c r="D94" s="3" t="s">
        <v>3685</v>
      </c>
      <c r="E94" s="3" t="s">
        <v>3686</v>
      </c>
    </row>
    <row r="95">
      <c r="A95" s="6">
        <v>46008.77640640046</v>
      </c>
      <c r="B95" s="3" t="s">
        <v>369</v>
      </c>
      <c r="C95" s="3" t="s">
        <v>367</v>
      </c>
      <c r="D95" s="3" t="s">
        <v>3685</v>
      </c>
      <c r="E95" s="3" t="s">
        <v>3686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25"/>
    <col customWidth="1" min="3" max="3" width="9.88"/>
    <col customWidth="1" min="4" max="4" width="29.13"/>
    <col customWidth="1" min="5" max="5" width="27.25"/>
    <col customWidth="1" min="6" max="6" width="54.38"/>
    <col customWidth="1" min="7" max="7" width="7.75"/>
    <col customWidth="1" min="8" max="8" width="44.63"/>
    <col customWidth="1" min="9" max="9" width="33.5"/>
    <col customWidth="1" min="10" max="10" width="13.0"/>
    <col customWidth="1" min="11" max="11" width="31.88"/>
  </cols>
  <sheetData>
    <row r="1">
      <c r="A1" s="42" t="s">
        <v>17</v>
      </c>
      <c r="B1" s="42" t="s">
        <v>21</v>
      </c>
      <c r="C1" s="42" t="s">
        <v>22</v>
      </c>
      <c r="D1" s="42" t="s">
        <v>3692</v>
      </c>
      <c r="E1" s="42" t="s">
        <v>3693</v>
      </c>
      <c r="F1" s="42" t="s">
        <v>23</v>
      </c>
      <c r="G1" s="42" t="s">
        <v>24</v>
      </c>
      <c r="H1" s="42" t="s">
        <v>32</v>
      </c>
      <c r="I1" s="42" t="s">
        <v>41</v>
      </c>
      <c r="J1" s="42" t="s">
        <v>38</v>
      </c>
      <c r="K1" s="42" t="s">
        <v>31</v>
      </c>
    </row>
    <row r="2">
      <c r="A2" s="3" t="s">
        <v>53</v>
      </c>
      <c r="B2" s="5" t="s">
        <v>1986</v>
      </c>
      <c r="C2" s="3" t="s">
        <v>562</v>
      </c>
      <c r="D2" s="3" t="s">
        <v>61</v>
      </c>
      <c r="E2" s="5" t="s">
        <v>3694</v>
      </c>
      <c r="F2" s="5" t="s">
        <v>3695</v>
      </c>
      <c r="G2" s="3" t="s">
        <v>59</v>
      </c>
      <c r="H2" s="3" t="s">
        <v>3696</v>
      </c>
      <c r="I2" s="5" t="s">
        <v>3697</v>
      </c>
      <c r="J2" s="3" t="s">
        <v>494</v>
      </c>
      <c r="K2" s="3" t="s">
        <v>3698</v>
      </c>
    </row>
    <row r="3">
      <c r="A3" s="3" t="s">
        <v>76</v>
      </c>
      <c r="B3" s="5" t="s">
        <v>1209</v>
      </c>
      <c r="C3" s="3" t="s">
        <v>57</v>
      </c>
      <c r="D3" s="3" t="s">
        <v>3699</v>
      </c>
      <c r="E3" s="5" t="s">
        <v>3700</v>
      </c>
      <c r="F3" s="5" t="s">
        <v>545</v>
      </c>
      <c r="G3" s="3" t="s">
        <v>3648</v>
      </c>
      <c r="H3" s="3" t="s">
        <v>3701</v>
      </c>
      <c r="I3" s="5" t="s">
        <v>3660</v>
      </c>
      <c r="J3" s="3" t="s">
        <v>493</v>
      </c>
      <c r="K3" s="3" t="s">
        <v>245</v>
      </c>
    </row>
    <row r="4">
      <c r="B4" s="5" t="s">
        <v>2178</v>
      </c>
      <c r="C4" s="3" t="s">
        <v>237</v>
      </c>
      <c r="D4" s="3" t="s">
        <v>3702</v>
      </c>
      <c r="E4" s="5" t="s">
        <v>3703</v>
      </c>
      <c r="F4" s="5" t="s">
        <v>923</v>
      </c>
      <c r="H4" s="3" t="s">
        <v>3704</v>
      </c>
      <c r="I4" s="5" t="s">
        <v>3705</v>
      </c>
      <c r="K4" s="3" t="s">
        <v>3706</v>
      </c>
    </row>
    <row r="5">
      <c r="B5" s="5" t="s">
        <v>56</v>
      </c>
      <c r="D5" s="3" t="s">
        <v>3707</v>
      </c>
      <c r="E5" s="5" t="s">
        <v>705</v>
      </c>
      <c r="F5" s="5" t="s">
        <v>1060</v>
      </c>
      <c r="H5" s="3" t="s">
        <v>3708</v>
      </c>
      <c r="I5" s="5" t="s">
        <v>3709</v>
      </c>
      <c r="K5" s="3" t="s">
        <v>3710</v>
      </c>
    </row>
    <row r="6">
      <c r="B6" s="5" t="s">
        <v>630</v>
      </c>
      <c r="D6" s="3" t="s">
        <v>3711</v>
      </c>
      <c r="E6" s="5" t="s">
        <v>3712</v>
      </c>
      <c r="F6" s="5" t="s">
        <v>1142</v>
      </c>
      <c r="H6" s="3" t="s">
        <v>3713</v>
      </c>
      <c r="I6" s="5" t="s">
        <v>280</v>
      </c>
      <c r="K6" s="3" t="s">
        <v>197</v>
      </c>
    </row>
    <row r="7">
      <c r="B7" s="5" t="s">
        <v>1448</v>
      </c>
      <c r="D7" s="3" t="s">
        <v>3714</v>
      </c>
      <c r="E7" s="5" t="s">
        <v>3649</v>
      </c>
      <c r="F7" s="5" t="s">
        <v>2024</v>
      </c>
      <c r="H7" s="3" t="s">
        <v>246</v>
      </c>
      <c r="I7" s="5" t="s">
        <v>3715</v>
      </c>
      <c r="K7" s="3" t="s">
        <v>300</v>
      </c>
    </row>
    <row r="8">
      <c r="B8" s="5" t="s">
        <v>1065</v>
      </c>
      <c r="D8" s="3" t="s">
        <v>3716</v>
      </c>
      <c r="E8" s="5" t="s">
        <v>2826</v>
      </c>
      <c r="F8" s="5" t="s">
        <v>3717</v>
      </c>
      <c r="H8" s="3" t="s">
        <v>391</v>
      </c>
      <c r="I8" s="5" t="s">
        <v>3718</v>
      </c>
      <c r="K8" s="3" t="s">
        <v>3719</v>
      </c>
    </row>
    <row r="9">
      <c r="B9" s="5" t="s">
        <v>190</v>
      </c>
      <c r="D9" s="3" t="s">
        <v>3720</v>
      </c>
      <c r="E9" s="5" t="s">
        <v>724</v>
      </c>
      <c r="F9" s="5" t="s">
        <v>691</v>
      </c>
      <c r="H9" s="3" t="s">
        <v>3721</v>
      </c>
      <c r="I9" s="5" t="s">
        <v>3722</v>
      </c>
      <c r="K9" s="3" t="s">
        <v>390</v>
      </c>
    </row>
    <row r="10">
      <c r="B10" s="5" t="s">
        <v>1032</v>
      </c>
      <c r="D10" s="3" t="s">
        <v>3723</v>
      </c>
      <c r="E10" s="5" t="s">
        <v>3724</v>
      </c>
      <c r="F10" s="5" t="s">
        <v>996</v>
      </c>
      <c r="H10" s="3" t="s">
        <v>3725</v>
      </c>
      <c r="I10" s="5" t="s">
        <v>3726</v>
      </c>
      <c r="K10" s="3" t="s">
        <v>3727</v>
      </c>
    </row>
    <row r="11">
      <c r="B11" s="5" t="s">
        <v>499</v>
      </c>
      <c r="D11" s="3" t="s">
        <v>3728</v>
      </c>
      <c r="E11" s="5" t="s">
        <v>3729</v>
      </c>
      <c r="F11" s="5" t="s">
        <v>3730</v>
      </c>
      <c r="H11" s="3" t="s">
        <v>3731</v>
      </c>
      <c r="I11" s="5" t="s">
        <v>3672</v>
      </c>
      <c r="K11" s="3" t="s">
        <v>315</v>
      </c>
    </row>
    <row r="12">
      <c r="B12" s="5" t="s">
        <v>575</v>
      </c>
      <c r="D12" s="3" t="s">
        <v>3732</v>
      </c>
      <c r="E12" s="5" t="s">
        <v>3733</v>
      </c>
      <c r="F12" s="5" t="s">
        <v>798</v>
      </c>
      <c r="H12" s="3" t="s">
        <v>3734</v>
      </c>
      <c r="I12" s="5" t="s">
        <v>3735</v>
      </c>
      <c r="K12" s="3" t="s">
        <v>66</v>
      </c>
    </row>
    <row r="13">
      <c r="B13" s="5" t="s">
        <v>939</v>
      </c>
      <c r="D13" s="3" t="s">
        <v>3736</v>
      </c>
      <c r="E13" s="5" t="s">
        <v>3737</v>
      </c>
      <c r="F13" s="5" t="s">
        <v>904</v>
      </c>
      <c r="H13" s="3" t="s">
        <v>3738</v>
      </c>
      <c r="I13" s="5" t="s">
        <v>3739</v>
      </c>
      <c r="K13" s="3" t="s">
        <v>3740</v>
      </c>
    </row>
    <row r="14">
      <c r="B14" s="5" t="s">
        <v>661</v>
      </c>
      <c r="D14" s="3" t="s">
        <v>3741</v>
      </c>
      <c r="E14" s="5" t="s">
        <v>3742</v>
      </c>
      <c r="F14" s="5" t="s">
        <v>563</v>
      </c>
      <c r="H14" s="3" t="s">
        <v>463</v>
      </c>
      <c r="I14" s="5" t="s">
        <v>3743</v>
      </c>
      <c r="K14" s="3" t="s">
        <v>3744</v>
      </c>
    </row>
    <row r="15">
      <c r="B15" s="5" t="s">
        <v>649</v>
      </c>
      <c r="D15" s="3" t="s">
        <v>3745</v>
      </c>
      <c r="E15" s="5" t="s">
        <v>3746</v>
      </c>
      <c r="F15" s="5" t="s">
        <v>2646</v>
      </c>
      <c r="H15" s="3" t="s">
        <v>198</v>
      </c>
      <c r="I15" s="5" t="s">
        <v>3747</v>
      </c>
      <c r="K15" s="3" t="s">
        <v>462</v>
      </c>
    </row>
    <row r="16">
      <c r="B16" s="5" t="s">
        <v>481</v>
      </c>
      <c r="D16" s="3" t="s">
        <v>3748</v>
      </c>
      <c r="E16" s="5" t="s">
        <v>3749</v>
      </c>
      <c r="F16" s="5" t="s">
        <v>620</v>
      </c>
      <c r="H16" s="3" t="s">
        <v>3750</v>
      </c>
      <c r="I16" s="5" t="s">
        <v>3751</v>
      </c>
      <c r="K16" s="3" t="s">
        <v>3752</v>
      </c>
    </row>
    <row r="17">
      <c r="B17" s="5" t="s">
        <v>308</v>
      </c>
      <c r="D17" s="3" t="s">
        <v>3753</v>
      </c>
      <c r="E17" s="5" t="s">
        <v>3754</v>
      </c>
      <c r="F17" s="5" t="s">
        <v>2939</v>
      </c>
      <c r="H17" s="3" t="s">
        <v>3755</v>
      </c>
      <c r="I17" s="5" t="s">
        <v>3756</v>
      </c>
      <c r="K17" s="3" t="s">
        <v>3757</v>
      </c>
    </row>
    <row r="18">
      <c r="B18" s="5" t="s">
        <v>438</v>
      </c>
      <c r="D18" s="3" t="s">
        <v>3758</v>
      </c>
      <c r="E18" s="5" t="s">
        <v>3759</v>
      </c>
      <c r="F18" s="5" t="s">
        <v>838</v>
      </c>
      <c r="H18" s="3" t="s">
        <v>3760</v>
      </c>
      <c r="I18" s="5" t="s">
        <v>3761</v>
      </c>
      <c r="K18" s="3" t="s">
        <v>506</v>
      </c>
    </row>
    <row r="19">
      <c r="B19" s="5" t="s">
        <v>516</v>
      </c>
      <c r="D19" s="3" t="s">
        <v>3762</v>
      </c>
      <c r="E19" s="5" t="s">
        <v>3763</v>
      </c>
      <c r="F19" s="5" t="s">
        <v>3764</v>
      </c>
      <c r="H19" s="3" t="s">
        <v>3765</v>
      </c>
      <c r="I19" s="5" t="s">
        <v>3766</v>
      </c>
    </row>
    <row r="20">
      <c r="B20" s="5" t="s">
        <v>236</v>
      </c>
      <c r="D20" s="3" t="s">
        <v>3767</v>
      </c>
      <c r="E20" s="5" t="s">
        <v>1500</v>
      </c>
      <c r="F20" s="5" t="s">
        <v>3768</v>
      </c>
      <c r="H20" s="3" t="s">
        <v>506</v>
      </c>
      <c r="I20" s="5" t="s">
        <v>69</v>
      </c>
    </row>
    <row r="21">
      <c r="B21" s="5" t="s">
        <v>293</v>
      </c>
      <c r="D21" s="3" t="s">
        <v>3769</v>
      </c>
      <c r="E21" s="5" t="s">
        <v>3770</v>
      </c>
      <c r="F21" s="5" t="s">
        <v>309</v>
      </c>
    </row>
    <row r="22">
      <c r="B22" s="5" t="s">
        <v>474</v>
      </c>
      <c r="D22" s="3" t="s">
        <v>3771</v>
      </c>
      <c r="E22" s="5" t="s">
        <v>3772</v>
      </c>
      <c r="F22" s="5" t="s">
        <v>825</v>
      </c>
    </row>
    <row r="23">
      <c r="B23" s="5" t="s">
        <v>544</v>
      </c>
      <c r="D23" s="3" t="s">
        <v>3773</v>
      </c>
      <c r="E23" s="5" t="s">
        <v>3774</v>
      </c>
      <c r="F23" s="5" t="s">
        <v>3445</v>
      </c>
    </row>
    <row r="24">
      <c r="B24" s="5" t="s">
        <v>3775</v>
      </c>
      <c r="D24" s="3" t="s">
        <v>3776</v>
      </c>
      <c r="E24" s="5" t="s">
        <v>3777</v>
      </c>
      <c r="F24" s="5" t="s">
        <v>807</v>
      </c>
    </row>
    <row r="25">
      <c r="D25" s="3" t="s">
        <v>3778</v>
      </c>
      <c r="E25" s="5" t="s">
        <v>3779</v>
      </c>
      <c r="F25" s="5" t="s">
        <v>248</v>
      </c>
    </row>
    <row r="26">
      <c r="D26" s="3" t="s">
        <v>3780</v>
      </c>
      <c r="E26" s="5" t="s">
        <v>3781</v>
      </c>
      <c r="F26" s="5" t="s">
        <v>2400</v>
      </c>
    </row>
    <row r="27">
      <c r="D27" s="3" t="s">
        <v>3782</v>
      </c>
      <c r="E27" s="5" t="s">
        <v>3783</v>
      </c>
      <c r="F27" s="5" t="s">
        <v>772</v>
      </c>
    </row>
    <row r="28">
      <c r="D28" s="3" t="s">
        <v>3784</v>
      </c>
      <c r="E28" s="5" t="s">
        <v>3785</v>
      </c>
      <c r="F28" s="5" t="s">
        <v>2330</v>
      </c>
    </row>
    <row r="29">
      <c r="D29" s="3" t="s">
        <v>3786</v>
      </c>
      <c r="E29" s="5" t="s">
        <v>3787</v>
      </c>
      <c r="F29" s="5" t="s">
        <v>1137</v>
      </c>
    </row>
    <row r="30">
      <c r="D30" s="3" t="s">
        <v>3788</v>
      </c>
      <c r="E30" s="5" t="s">
        <v>3789</v>
      </c>
      <c r="F30" s="5" t="s">
        <v>517</v>
      </c>
    </row>
    <row r="31">
      <c r="D31" s="3" t="s">
        <v>3790</v>
      </c>
      <c r="E31" s="5" t="s">
        <v>3791</v>
      </c>
      <c r="F31" s="5" t="s">
        <v>1510</v>
      </c>
    </row>
    <row r="32">
      <c r="D32" s="3" t="s">
        <v>3792</v>
      </c>
      <c r="E32" s="5" t="s">
        <v>3793</v>
      </c>
      <c r="F32" s="5" t="s">
        <v>792</v>
      </c>
    </row>
    <row r="33">
      <c r="D33" s="3" t="s">
        <v>3794</v>
      </c>
      <c r="E33" s="5" t="s">
        <v>3795</v>
      </c>
      <c r="F33" s="5" t="s">
        <v>1662</v>
      </c>
    </row>
    <row r="34">
      <c r="D34" s="3" t="s">
        <v>3796</v>
      </c>
      <c r="E34" s="5" t="s">
        <v>3797</v>
      </c>
      <c r="F34" s="5" t="s">
        <v>3798</v>
      </c>
    </row>
    <row r="35">
      <c r="D35" s="3" t="s">
        <v>3799</v>
      </c>
      <c r="E35" s="5" t="s">
        <v>3800</v>
      </c>
      <c r="F35" s="5" t="s">
        <v>2516</v>
      </c>
    </row>
    <row r="36">
      <c r="D36" s="3" t="s">
        <v>3801</v>
      </c>
      <c r="E36" s="5" t="s">
        <v>3802</v>
      </c>
      <c r="F36" s="5" t="s">
        <v>511</v>
      </c>
    </row>
    <row r="37">
      <c r="D37" s="3" t="s">
        <v>3803</v>
      </c>
      <c r="E37" s="5" t="s">
        <v>3804</v>
      </c>
      <c r="F37" s="5" t="s">
        <v>858</v>
      </c>
    </row>
    <row r="38">
      <c r="D38" s="3" t="s">
        <v>3805</v>
      </c>
      <c r="E38" s="5" t="s">
        <v>3806</v>
      </c>
      <c r="F38" s="5" t="s">
        <v>613</v>
      </c>
    </row>
    <row r="39">
      <c r="D39" s="3" t="s">
        <v>3807</v>
      </c>
      <c r="E39" s="5" t="s">
        <v>3808</v>
      </c>
      <c r="F39" s="5" t="s">
        <v>1991</v>
      </c>
    </row>
    <row r="40">
      <c r="D40" s="3" t="s">
        <v>3809</v>
      </c>
      <c r="E40" s="5" t="str">
        <f>UPPER(Experiment!X40:X77)</f>
        <v/>
      </c>
      <c r="F40" s="5" t="s">
        <v>682</v>
      </c>
    </row>
    <row r="41">
      <c r="D41" s="3" t="s">
        <v>3810</v>
      </c>
      <c r="E41" s="5" t="str">
        <f>UPPER(Experiment!X41:X78)</f>
        <v/>
      </c>
      <c r="F41" s="5" t="s">
        <v>522</v>
      </c>
    </row>
    <row r="42">
      <c r="D42" s="3" t="s">
        <v>3811</v>
      </c>
      <c r="E42" s="5" t="str">
        <f>UPPER(Experiment!X42:X79)</f>
        <v/>
      </c>
      <c r="F42" s="5" t="s">
        <v>952</v>
      </c>
    </row>
    <row r="43">
      <c r="D43" s="3" t="s">
        <v>3812</v>
      </c>
      <c r="E43" s="5" t="str">
        <f>UPPER(Experiment!X43:X80)</f>
        <v/>
      </c>
      <c r="F43" s="5" t="s">
        <v>3813</v>
      </c>
    </row>
    <row r="44">
      <c r="D44" s="3" t="s">
        <v>3814</v>
      </c>
      <c r="E44" s="5" t="str">
        <f>UPPER(Experiment!X44:X81)</f>
        <v/>
      </c>
      <c r="F44" s="5" t="s">
        <v>1217</v>
      </c>
    </row>
    <row r="45">
      <c r="D45" s="3" t="s">
        <v>3815</v>
      </c>
      <c r="E45" s="5" t="str">
        <f>UPPER(Experiment!X45:X82)</f>
        <v/>
      </c>
      <c r="F45" s="5" t="s">
        <v>847</v>
      </c>
    </row>
    <row r="46">
      <c r="D46" s="3" t="s">
        <v>3816</v>
      </c>
      <c r="E46" s="5" t="str">
        <f>UPPER(Experiment!X46:X83)</f>
        <v/>
      </c>
      <c r="F46" s="5" t="s">
        <v>3817</v>
      </c>
    </row>
    <row r="47">
      <c r="D47" s="3" t="s">
        <v>3818</v>
      </c>
      <c r="E47" s="5" t="str">
        <f>UPPER(Experiment!X47:X84)</f>
        <v/>
      </c>
      <c r="F47" s="5" t="s">
        <v>2682</v>
      </c>
    </row>
    <row r="48">
      <c r="D48" s="3" t="s">
        <v>3819</v>
      </c>
      <c r="E48" s="5" t="str">
        <f>UPPER(Experiment!X48:X85)</f>
        <v/>
      </c>
      <c r="F48" s="5" t="s">
        <v>1875</v>
      </c>
    </row>
    <row r="49">
      <c r="D49" s="3" t="s">
        <v>3820</v>
      </c>
      <c r="E49" s="5" t="str">
        <f>UPPER(Experiment!X49:X86)</f>
        <v/>
      </c>
      <c r="F49" s="5" t="s">
        <v>608</v>
      </c>
    </row>
    <row r="50">
      <c r="D50" s="3" t="s">
        <v>3821</v>
      </c>
      <c r="E50" s="5" t="str">
        <f>UPPER(Experiment!X50:X87)</f>
        <v/>
      </c>
      <c r="F50" s="5" t="s">
        <v>3822</v>
      </c>
    </row>
    <row r="51">
      <c r="D51" s="3" t="s">
        <v>3823</v>
      </c>
      <c r="E51" s="5" t="str">
        <f>UPPER(Experiment!X51:X88)</f>
        <v/>
      </c>
      <c r="F51" s="5" t="s">
        <v>783</v>
      </c>
    </row>
    <row r="52">
      <c r="D52" s="3" t="s">
        <v>3824</v>
      </c>
      <c r="E52" s="5" t="str">
        <f>UPPER(Experiment!X52:X89)</f>
        <v/>
      </c>
      <c r="F52" s="5" t="s">
        <v>3825</v>
      </c>
    </row>
    <row r="53">
      <c r="D53" s="3" t="s">
        <v>3826</v>
      </c>
      <c r="E53" s="5" t="str">
        <f>UPPER(Experiment!X53:X90)</f>
        <v/>
      </c>
      <c r="F53" s="5" t="s">
        <v>569</v>
      </c>
    </row>
    <row r="54">
      <c r="D54" s="3" t="s">
        <v>3827</v>
      </c>
      <c r="E54" s="5" t="str">
        <f>UPPER(Experiment!X54:X91)</f>
        <v/>
      </c>
      <c r="F54" s="5" t="s">
        <v>643</v>
      </c>
    </row>
    <row r="55">
      <c r="D55" s="3" t="s">
        <v>3828</v>
      </c>
      <c r="E55" s="5" t="str">
        <f>UPPER(Experiment!X55:X92)</f>
        <v/>
      </c>
      <c r="F55" s="5" t="s">
        <v>1962</v>
      </c>
    </row>
    <row r="56">
      <c r="D56" s="3" t="s">
        <v>3829</v>
      </c>
      <c r="E56" s="5" t="str">
        <f>UPPER(Experiment!X56:X93)</f>
        <v/>
      </c>
      <c r="F56" s="5" t="s">
        <v>1977</v>
      </c>
    </row>
    <row r="57">
      <c r="D57" s="3" t="s">
        <v>3830</v>
      </c>
      <c r="E57" s="5" t="str">
        <f>UPPER(Experiment!X57:X94)</f>
        <v/>
      </c>
      <c r="F57" s="5" t="s">
        <v>666</v>
      </c>
    </row>
    <row r="58">
      <c r="D58" s="3" t="s">
        <v>3831</v>
      </c>
      <c r="E58" s="5" t="str">
        <f>UPPER(Experiment!X58:X95)</f>
        <v/>
      </c>
      <c r="F58" s="5" t="s">
        <v>1703</v>
      </c>
    </row>
    <row r="59">
      <c r="D59" s="3" t="s">
        <v>3832</v>
      </c>
      <c r="E59" s="5" t="str">
        <f>UPPER(Experiment!X59:X96)</f>
        <v/>
      </c>
      <c r="F59" s="5" t="s">
        <v>3833</v>
      </c>
    </row>
    <row r="60">
      <c r="D60" s="3" t="s">
        <v>3834</v>
      </c>
      <c r="E60" s="5" t="str">
        <f>UPPER(Experiment!X60:X97)</f>
        <v/>
      </c>
      <c r="F60" s="5" t="s">
        <v>1044</v>
      </c>
    </row>
    <row r="61">
      <c r="D61" s="3" t="s">
        <v>3835</v>
      </c>
      <c r="E61" s="5" t="str">
        <f>UPPER(Experiment!X61:X98)</f>
        <v/>
      </c>
      <c r="F61" s="5" t="s">
        <v>475</v>
      </c>
    </row>
    <row r="62">
      <c r="D62" s="3" t="s">
        <v>3836</v>
      </c>
      <c r="E62" s="5" t="str">
        <f>UPPER(Experiment!X62:X99)</f>
        <v/>
      </c>
      <c r="F62" s="5" t="s">
        <v>3837</v>
      </c>
    </row>
    <row r="63">
      <c r="D63" s="3" t="s">
        <v>3838</v>
      </c>
      <c r="E63" s="5" t="str">
        <f>UPPER(Experiment!X63:X100)</f>
        <v/>
      </c>
      <c r="F63" s="5" t="s">
        <v>581</v>
      </c>
    </row>
    <row r="64">
      <c r="D64" s="3" t="s">
        <v>3839</v>
      </c>
      <c r="E64" s="5" t="str">
        <f>UPPER(Experiment!X64:X101)</f>
        <v/>
      </c>
      <c r="F64" s="5" t="s">
        <v>3840</v>
      </c>
    </row>
    <row r="65">
      <c r="D65" s="3" t="s">
        <v>3841</v>
      </c>
      <c r="E65" s="5" t="str">
        <f>UPPER(Experiment!X65:X102)</f>
        <v/>
      </c>
      <c r="F65" s="5" t="s">
        <v>1205</v>
      </c>
    </row>
    <row r="66">
      <c r="D66" s="3" t="s">
        <v>3842</v>
      </c>
      <c r="E66" s="5" t="str">
        <f>UPPER(Experiment!X66:X103)</f>
        <v/>
      </c>
      <c r="F66" s="5" t="s">
        <v>3843</v>
      </c>
    </row>
    <row r="67">
      <c r="D67" s="3" t="s">
        <v>3844</v>
      </c>
      <c r="E67" s="5" t="str">
        <f>UPPER(Experiment!X67:X104)</f>
        <v/>
      </c>
      <c r="F67" s="5" t="s">
        <v>2780</v>
      </c>
    </row>
    <row r="68">
      <c r="D68" s="3" t="s">
        <v>3845</v>
      </c>
      <c r="E68" s="5" t="str">
        <f>UPPER(Experiment!X68:X105)</f>
        <v/>
      </c>
      <c r="F68" s="5" t="s">
        <v>3846</v>
      </c>
    </row>
    <row r="69">
      <c r="D69" s="3" t="s">
        <v>3847</v>
      </c>
      <c r="E69" s="5" t="str">
        <f>UPPER(Experiment!X69:X106)</f>
        <v/>
      </c>
      <c r="F69" s="5" t="s">
        <v>1002</v>
      </c>
    </row>
    <row r="70">
      <c r="D70" s="3" t="s">
        <v>3848</v>
      </c>
      <c r="E70" s="5" t="str">
        <f>UPPER(Experiment!X70:X107)</f>
        <v/>
      </c>
      <c r="F70" s="5" t="s">
        <v>777</v>
      </c>
    </row>
    <row r="71">
      <c r="D71" s="3" t="s">
        <v>3849</v>
      </c>
      <c r="E71" s="5" t="str">
        <f>UPPER(Experiment!X71:X108)</f>
        <v/>
      </c>
      <c r="F71" s="5" t="s">
        <v>730</v>
      </c>
    </row>
    <row r="72">
      <c r="D72" s="3" t="s">
        <v>3850</v>
      </c>
      <c r="E72" s="5" t="str">
        <f>UPPER(Experiment!X72:X109)</f>
        <v/>
      </c>
      <c r="F72" s="5" t="s">
        <v>482</v>
      </c>
    </row>
    <row r="73">
      <c r="D73" s="3" t="s">
        <v>3851</v>
      </c>
      <c r="E73" s="5" t="str">
        <f>UPPER(Experiment!X73:X110)</f>
        <v/>
      </c>
      <c r="F73" s="5" t="s">
        <v>385</v>
      </c>
    </row>
    <row r="74">
      <c r="D74" s="3" t="s">
        <v>3852</v>
      </c>
      <c r="E74" s="5" t="str">
        <f>UPPER(Experiment!X74:X111)</f>
        <v/>
      </c>
      <c r="F74" s="5" t="s">
        <v>984</v>
      </c>
    </row>
    <row r="75">
      <c r="D75" s="3" t="s">
        <v>3853</v>
      </c>
      <c r="E75" s="5" t="str">
        <f>UPPER(Experiment!X75:X112)</f>
        <v/>
      </c>
      <c r="F75" s="5" t="s">
        <v>717</v>
      </c>
    </row>
    <row r="76">
      <c r="D76" s="3" t="s">
        <v>3854</v>
      </c>
      <c r="E76" s="5" t="str">
        <f>UPPER(Experiment!X76:X113)</f>
        <v/>
      </c>
      <c r="F76" s="5" t="s">
        <v>707</v>
      </c>
    </row>
    <row r="77">
      <c r="D77" s="3" t="s">
        <v>3855</v>
      </c>
      <c r="E77" s="5" t="str">
        <f>UPPER(Experiment!X77:X114)</f>
        <v/>
      </c>
      <c r="F77" s="5" t="s">
        <v>671</v>
      </c>
    </row>
    <row r="78">
      <c r="D78" s="3" t="s">
        <v>3856</v>
      </c>
      <c r="E78" s="5" t="str">
        <f>UPPER(Experiment!X78:X115)</f>
        <v/>
      </c>
      <c r="F78" s="5" t="s">
        <v>2466</v>
      </c>
    </row>
    <row r="79">
      <c r="D79" s="3" t="s">
        <v>3857</v>
      </c>
      <c r="E79" s="5" t="str">
        <f>UPPER(Experiment!X79:X116)</f>
        <v/>
      </c>
      <c r="F79" s="5" t="s">
        <v>1434</v>
      </c>
    </row>
    <row r="80">
      <c r="D80" s="3" t="s">
        <v>3858</v>
      </c>
      <c r="E80" s="5" t="str">
        <f>UPPER(Experiment!X80:X117)</f>
        <v/>
      </c>
      <c r="F80" s="5" t="s">
        <v>1598</v>
      </c>
    </row>
    <row r="81">
      <c r="D81" s="3" t="s">
        <v>3859</v>
      </c>
      <c r="E81" s="5" t="str">
        <f>UPPER(Experiment!X81:X118)</f>
        <v/>
      </c>
      <c r="F81" s="5" t="s">
        <v>3860</v>
      </c>
    </row>
    <row r="82">
      <c r="D82" s="3" t="s">
        <v>3861</v>
      </c>
      <c r="E82" s="5" t="str">
        <f>UPPER(Experiment!X82:X119)</f>
        <v/>
      </c>
      <c r="F82" s="5" t="s">
        <v>813</v>
      </c>
    </row>
    <row r="83">
      <c r="D83" s="3" t="s">
        <v>3862</v>
      </c>
      <c r="E83" s="5" t="str">
        <f>UPPER(Experiment!X83:X120)</f>
        <v/>
      </c>
      <c r="F83" s="5" t="s">
        <v>267</v>
      </c>
    </row>
    <row r="84">
      <c r="D84" s="3" t="s">
        <v>3863</v>
      </c>
      <c r="E84" s="5" t="str">
        <f>UPPER(Experiment!X84:X121)</f>
        <v/>
      </c>
      <c r="F84" s="5" t="s">
        <v>1179</v>
      </c>
    </row>
    <row r="85">
      <c r="D85" s="3" t="s">
        <v>3864</v>
      </c>
      <c r="E85" s="5" t="str">
        <f>UPPER(Experiment!X85:X122)</f>
        <v/>
      </c>
      <c r="F85" s="5" t="s">
        <v>625</v>
      </c>
    </row>
    <row r="86">
      <c r="D86" s="3" t="s">
        <v>3865</v>
      </c>
      <c r="E86" s="5" t="str">
        <f>UPPER(Experiment!X86:X123)</f>
        <v/>
      </c>
      <c r="F86" s="5" t="s">
        <v>702</v>
      </c>
    </row>
    <row r="87">
      <c r="D87" s="3" t="s">
        <v>3866</v>
      </c>
      <c r="E87" s="5" t="str">
        <f>UPPER(Experiment!X87:X124)</f>
        <v/>
      </c>
      <c r="F87" s="5" t="s">
        <v>696</v>
      </c>
    </row>
    <row r="88">
      <c r="D88" s="3" t="s">
        <v>3867</v>
      </c>
      <c r="E88" s="5" t="str">
        <f>UPPER(Experiment!X88:X125)</f>
        <v/>
      </c>
      <c r="F88" s="5" t="s">
        <v>294</v>
      </c>
    </row>
    <row r="89">
      <c r="D89" s="3" t="s">
        <v>3868</v>
      </c>
      <c r="E89" s="5" t="str">
        <f>UPPER(Experiment!X89:X126)</f>
        <v/>
      </c>
      <c r="F89" s="5" t="s">
        <v>991</v>
      </c>
    </row>
    <row r="90">
      <c r="D90" s="3" t="s">
        <v>3869</v>
      </c>
      <c r="E90" s="5" t="str">
        <f>UPPER(Experiment!X90:X127)</f>
        <v/>
      </c>
      <c r="F90" s="5" t="s">
        <v>854</v>
      </c>
    </row>
    <row r="91">
      <c r="D91" s="3" t="s">
        <v>3870</v>
      </c>
      <c r="E91" s="5" t="str">
        <f>UPPER(Experiment!X91:X128)</f>
        <v/>
      </c>
      <c r="F91" s="5" t="s">
        <v>3012</v>
      </c>
    </row>
    <row r="92">
      <c r="D92" s="3" t="s">
        <v>3871</v>
      </c>
      <c r="E92" s="5" t="str">
        <f>UPPER(Experiment!X92:X129)</f>
        <v/>
      </c>
      <c r="F92" s="5" t="s">
        <v>576</v>
      </c>
    </row>
    <row r="93">
      <c r="D93" s="3" t="s">
        <v>3872</v>
      </c>
      <c r="E93" s="5" t="str">
        <f>UPPER(Experiment!X93:X130)</f>
        <v/>
      </c>
      <c r="F93" s="5" t="s">
        <v>1048</v>
      </c>
    </row>
    <row r="94">
      <c r="D94" s="3" t="s">
        <v>3873</v>
      </c>
      <c r="E94" s="5" t="str">
        <f>UPPER(Experiment!X94:X131)</f>
        <v/>
      </c>
      <c r="F94" s="5" t="s">
        <v>3874</v>
      </c>
    </row>
    <row r="95">
      <c r="D95" s="3" t="s">
        <v>3875</v>
      </c>
      <c r="E95" s="5" t="str">
        <f>UPPER(Experiment!X95:X132)</f>
        <v/>
      </c>
      <c r="F95" s="5" t="s">
        <v>3876</v>
      </c>
    </row>
    <row r="96">
      <c r="D96" s="3" t="s">
        <v>3877</v>
      </c>
      <c r="E96" s="5" t="str">
        <f>UPPER(Experiment!X96:X133)</f>
        <v/>
      </c>
      <c r="F96" s="5" t="s">
        <v>238</v>
      </c>
    </row>
    <row r="97">
      <c r="D97" s="3" t="s">
        <v>3878</v>
      </c>
      <c r="E97" s="5" t="str">
        <f>UPPER(Experiment!X97:X134)</f>
        <v/>
      </c>
      <c r="F97" s="5" t="s">
        <v>712</v>
      </c>
    </row>
    <row r="98">
      <c r="D98" s="3" t="s">
        <v>3879</v>
      </c>
      <c r="E98" s="5" t="str">
        <f>UPPER(Experiment!X98:X135)</f>
        <v/>
      </c>
      <c r="F98" s="5" t="s">
        <v>58</v>
      </c>
    </row>
    <row r="99">
      <c r="D99" s="3" t="s">
        <v>3880</v>
      </c>
      <c r="E99" s="5" t="str">
        <f>UPPER(Experiment!X99:X136)</f>
        <v/>
      </c>
      <c r="F99" s="5" t="s">
        <v>590</v>
      </c>
    </row>
    <row r="100">
      <c r="D100" s="3" t="s">
        <v>3881</v>
      </c>
      <c r="E100" s="5" t="str">
        <f>UPPER(Experiment!X100:X137)</f>
        <v/>
      </c>
      <c r="F100" s="5" t="s">
        <v>555</v>
      </c>
    </row>
    <row r="101">
      <c r="D101" s="3" t="s">
        <v>3882</v>
      </c>
      <c r="E101" s="5" t="str">
        <f>UPPER(Experiment!X101:X138)</f>
        <v/>
      </c>
      <c r="F101" s="5" t="s">
        <v>787</v>
      </c>
    </row>
    <row r="102">
      <c r="D102" s="3" t="s">
        <v>3883</v>
      </c>
      <c r="E102" s="5" t="str">
        <f>UPPER(Experiment!X102:X139)</f>
        <v/>
      </c>
      <c r="F102" s="5" t="s">
        <v>2775</v>
      </c>
    </row>
    <row r="103">
      <c r="D103" s="3" t="s">
        <v>3884</v>
      </c>
      <c r="E103" s="5" t="str">
        <f>UPPER(Experiment!X103:X140)</f>
        <v/>
      </c>
      <c r="F103" s="5" t="s">
        <v>1097</v>
      </c>
    </row>
    <row r="104">
      <c r="D104" s="3" t="s">
        <v>3885</v>
      </c>
      <c r="E104" s="5" t="str">
        <f>UPPER(Experiment!X104:X141)</f>
        <v/>
      </c>
    </row>
    <row r="105">
      <c r="D105" s="3" t="s">
        <v>3886</v>
      </c>
      <c r="E105" s="5" t="str">
        <f>UPPER(Experiment!X105:X142)</f>
        <v/>
      </c>
    </row>
    <row r="106">
      <c r="D106" s="3" t="s">
        <v>3887</v>
      </c>
      <c r="E106" s="5" t="str">
        <f>UPPER(Experiment!X106:X143)</f>
        <v/>
      </c>
    </row>
    <row r="107">
      <c r="D107" s="3" t="s">
        <v>3888</v>
      </c>
      <c r="E107" s="5" t="str">
        <f>UPPER(Experiment!X107:X144)</f>
        <v/>
      </c>
    </row>
    <row r="108">
      <c r="D108" s="3" t="s">
        <v>3889</v>
      </c>
      <c r="E108" s="5" t="str">
        <f>UPPER(Experiment!X108:X145)</f>
        <v/>
      </c>
    </row>
    <row r="109">
      <c r="D109" s="3" t="s">
        <v>3890</v>
      </c>
      <c r="E109" s="5" t="str">
        <f>UPPER(Experiment!X109:X146)</f>
        <v/>
      </c>
    </row>
    <row r="110">
      <c r="D110" s="3" t="s">
        <v>3891</v>
      </c>
      <c r="E110" s="5" t="str">
        <f>UPPER(Experiment!X110:X147)</f>
        <v/>
      </c>
    </row>
    <row r="111">
      <c r="D111" s="3" t="s">
        <v>3892</v>
      </c>
      <c r="E111" s="5" t="str">
        <f>UPPER(Experiment!X111:X148)</f>
        <v/>
      </c>
    </row>
    <row r="112">
      <c r="D112" s="3" t="s">
        <v>3893</v>
      </c>
      <c r="E112" s="5" t="str">
        <f>UPPER(Experiment!X112:X149)</f>
        <v/>
      </c>
    </row>
    <row r="113">
      <c r="D113" s="3" t="s">
        <v>3894</v>
      </c>
      <c r="E113" s="5" t="str">
        <f>UPPER(Experiment!X113:X150)</f>
        <v/>
      </c>
    </row>
    <row r="114">
      <c r="D114" s="3" t="s">
        <v>3895</v>
      </c>
      <c r="E114" s="5" t="str">
        <f>UPPER(Experiment!X114:X151)</f>
        <v/>
      </c>
    </row>
    <row r="115">
      <c r="D115" s="3" t="s">
        <v>3896</v>
      </c>
      <c r="E115" s="5" t="str">
        <f>UPPER(Experiment!X115:X152)</f>
        <v/>
      </c>
    </row>
    <row r="116">
      <c r="D116" s="3" t="s">
        <v>3897</v>
      </c>
      <c r="E116" s="5" t="str">
        <f>UPPER(Experiment!X116:X153)</f>
        <v/>
      </c>
    </row>
    <row r="117">
      <c r="D117" s="3" t="s">
        <v>3898</v>
      </c>
      <c r="E117" s="5" t="str">
        <f>UPPER(Experiment!X117:X154)</f>
        <v/>
      </c>
    </row>
    <row r="118">
      <c r="D118" s="3" t="s">
        <v>3899</v>
      </c>
      <c r="E118" s="5" t="str">
        <f>UPPER(Experiment!X118:X155)</f>
        <v/>
      </c>
    </row>
    <row r="119">
      <c r="D119" s="3" t="s">
        <v>3900</v>
      </c>
      <c r="E119" s="5" t="str">
        <f>UPPER(Experiment!X119:X156)</f>
        <v/>
      </c>
    </row>
    <row r="120">
      <c r="D120" s="3" t="s">
        <v>3901</v>
      </c>
      <c r="E120" s="5" t="str">
        <f>UPPER(Experiment!X120:X157)</f>
        <v/>
      </c>
    </row>
    <row r="121">
      <c r="D121" s="3" t="s">
        <v>3902</v>
      </c>
      <c r="E121" s="5" t="str">
        <f>UPPER(Experiment!X121:X158)</f>
        <v/>
      </c>
    </row>
    <row r="122">
      <c r="D122" s="3" t="s">
        <v>3903</v>
      </c>
      <c r="E122" s="5" t="str">
        <f>UPPER(Experiment!X122:X159)</f>
        <v/>
      </c>
    </row>
    <row r="123">
      <c r="D123" s="3" t="s">
        <v>3904</v>
      </c>
      <c r="E123" s="5" t="str">
        <f>UPPER(Experiment!X123:X160)</f>
        <v/>
      </c>
    </row>
    <row r="124">
      <c r="D124" s="3" t="s">
        <v>3905</v>
      </c>
      <c r="E124" s="5" t="str">
        <f>UPPER(Experiment!X124:X161)</f>
        <v/>
      </c>
    </row>
    <row r="125">
      <c r="D125" s="3" t="s">
        <v>3906</v>
      </c>
      <c r="E125" s="5" t="str">
        <f>UPPER(Experiment!X125:X162)</f>
        <v/>
      </c>
    </row>
    <row r="126">
      <c r="D126" s="3" t="s">
        <v>3907</v>
      </c>
      <c r="E126" s="5" t="str">
        <f>UPPER(Experiment!X126:X163)</f>
        <v/>
      </c>
    </row>
    <row r="127">
      <c r="D127" s="3" t="s">
        <v>3908</v>
      </c>
      <c r="E127" s="5" t="str">
        <f>UPPER(Experiment!X127:X164)</f>
        <v/>
      </c>
    </row>
    <row r="128">
      <c r="D128" s="3" t="s">
        <v>3909</v>
      </c>
      <c r="E128" s="5" t="str">
        <f>UPPER(Experiment!X128:X165)</f>
        <v/>
      </c>
    </row>
    <row r="129">
      <c r="D129" s="3" t="s">
        <v>3910</v>
      </c>
      <c r="E129" s="5" t="str">
        <f>UPPER(Experiment!X129:X166)</f>
        <v/>
      </c>
    </row>
    <row r="130">
      <c r="D130" s="3" t="s">
        <v>3911</v>
      </c>
      <c r="E130" s="5" t="str">
        <f>UPPER(Experiment!X130:X167)</f>
        <v/>
      </c>
    </row>
    <row r="131">
      <c r="D131" s="3" t="s">
        <v>3912</v>
      </c>
      <c r="E131" s="5" t="str">
        <f>UPPER(Experiment!X131:X168)</f>
        <v/>
      </c>
    </row>
    <row r="132">
      <c r="D132" s="3" t="s">
        <v>3913</v>
      </c>
      <c r="E132" s="5" t="str">
        <f>UPPER(Experiment!X132:X169)</f>
        <v/>
      </c>
    </row>
    <row r="133">
      <c r="D133" s="3" t="s">
        <v>3914</v>
      </c>
      <c r="E133" s="5" t="str">
        <f>UPPER(Experiment!X133:X170)</f>
        <v/>
      </c>
    </row>
    <row r="134">
      <c r="D134" s="3" t="s">
        <v>3915</v>
      </c>
      <c r="E134" s="5" t="str">
        <f>UPPER(Experiment!X134:X171)</f>
        <v/>
      </c>
    </row>
    <row r="135">
      <c r="D135" s="3" t="s">
        <v>3916</v>
      </c>
      <c r="E135" s="5" t="str">
        <f>UPPER(Experiment!X135:X172)</f>
        <v/>
      </c>
    </row>
    <row r="136">
      <c r="D136" s="3" t="s">
        <v>3917</v>
      </c>
      <c r="E136" s="5" t="str">
        <f>UPPER(Experiment!X136:X173)</f>
        <v/>
      </c>
    </row>
    <row r="137">
      <c r="D137" s="3" t="s">
        <v>3918</v>
      </c>
      <c r="E137" s="5" t="str">
        <f>UPPER(Experiment!X137:X174)</f>
        <v/>
      </c>
    </row>
    <row r="138">
      <c r="D138" s="3" t="s">
        <v>3919</v>
      </c>
      <c r="E138" s="5" t="str">
        <f>UPPER(Experiment!X138:X175)</f>
        <v/>
      </c>
    </row>
    <row r="139">
      <c r="D139" s="3" t="s">
        <v>3920</v>
      </c>
      <c r="E139" s="5" t="str">
        <f>UPPER(Experiment!X139:X176)</f>
        <v/>
      </c>
    </row>
    <row r="140">
      <c r="D140" s="3" t="s">
        <v>3921</v>
      </c>
      <c r="E140" s="5" t="str">
        <f>UPPER(Experiment!X140:X177)</f>
        <v/>
      </c>
    </row>
    <row r="141">
      <c r="D141" s="3" t="s">
        <v>3922</v>
      </c>
      <c r="E141" s="5" t="str">
        <f>UPPER(Experiment!X141:X178)</f>
        <v/>
      </c>
    </row>
    <row r="142">
      <c r="D142" s="3" t="s">
        <v>3923</v>
      </c>
      <c r="E142" s="5" t="str">
        <f>UPPER(Experiment!X142:X179)</f>
        <v/>
      </c>
    </row>
    <row r="143">
      <c r="D143" s="3" t="s">
        <v>3924</v>
      </c>
      <c r="E143" s="5" t="str">
        <f>UPPER(Experiment!X143:X180)</f>
        <v/>
      </c>
    </row>
    <row r="144">
      <c r="D144" s="3" t="s">
        <v>3925</v>
      </c>
      <c r="E144" s="5" t="str">
        <f>UPPER(Experiment!X144:X181)</f>
        <v/>
      </c>
    </row>
    <row r="145">
      <c r="D145" s="3" t="s">
        <v>3926</v>
      </c>
      <c r="E145" s="5" t="str">
        <f>UPPER(Experiment!X145:X182)</f>
        <v/>
      </c>
    </row>
    <row r="146">
      <c r="D146" s="3" t="s">
        <v>3927</v>
      </c>
      <c r="E146" s="5" t="str">
        <f>UPPER(Experiment!X146:X183)</f>
        <v/>
      </c>
    </row>
    <row r="147">
      <c r="D147" s="3" t="s">
        <v>3928</v>
      </c>
      <c r="E147" s="5" t="str">
        <f>UPPER(Experiment!X147:X184)</f>
        <v/>
      </c>
    </row>
    <row r="148">
      <c r="D148" s="3" t="s">
        <v>3929</v>
      </c>
      <c r="E148" s="5" t="str">
        <f>UPPER(Experiment!X148:X185)</f>
        <v/>
      </c>
    </row>
    <row r="149">
      <c r="D149" s="3" t="s">
        <v>3930</v>
      </c>
      <c r="E149" s="5" t="str">
        <f>UPPER(Experiment!X149:X186)</f>
        <v/>
      </c>
    </row>
    <row r="150">
      <c r="D150" s="3" t="s">
        <v>3931</v>
      </c>
      <c r="E150" s="5" t="str">
        <f>UPPER(Experiment!X150:X187)</f>
        <v/>
      </c>
    </row>
    <row r="151">
      <c r="D151" s="3" t="s">
        <v>3932</v>
      </c>
      <c r="E151" s="5" t="str">
        <f>UPPER(Experiment!X151:X188)</f>
        <v/>
      </c>
    </row>
    <row r="152">
      <c r="D152" s="3" t="s">
        <v>3933</v>
      </c>
      <c r="E152" s="5" t="str">
        <f>UPPER(Experiment!X152:X189)</f>
        <v/>
      </c>
    </row>
    <row r="153">
      <c r="D153" s="3" t="s">
        <v>3934</v>
      </c>
      <c r="E153" s="5" t="str">
        <f>UPPER(Experiment!X153:X190)</f>
        <v/>
      </c>
    </row>
    <row r="154">
      <c r="D154" s="3" t="s">
        <v>3935</v>
      </c>
      <c r="E154" s="5" t="str">
        <f>UPPER(Experiment!X154:X191)</f>
        <v/>
      </c>
    </row>
    <row r="155">
      <c r="D155" s="3" t="s">
        <v>3936</v>
      </c>
      <c r="E155" s="5" t="str">
        <f>UPPER(Experiment!X155:X192)</f>
        <v/>
      </c>
    </row>
    <row r="156">
      <c r="D156" s="3" t="s">
        <v>3937</v>
      </c>
      <c r="E156" s="5" t="str">
        <f>UPPER(Experiment!X156:X193)</f>
        <v/>
      </c>
    </row>
    <row r="157">
      <c r="D157" s="3" t="s">
        <v>3938</v>
      </c>
      <c r="E157" s="5" t="str">
        <f>UPPER(Experiment!X157:X194)</f>
        <v/>
      </c>
    </row>
    <row r="158">
      <c r="D158" s="3" t="s">
        <v>3939</v>
      </c>
      <c r="E158" s="5" t="str">
        <f>UPPER(Experiment!X158:X195)</f>
        <v/>
      </c>
    </row>
    <row r="159">
      <c r="D159" s="3" t="s">
        <v>3940</v>
      </c>
      <c r="E159" s="5" t="str">
        <f>UPPER(Experiment!X159:X196)</f>
        <v/>
      </c>
    </row>
    <row r="160">
      <c r="D160" s="3" t="s">
        <v>3941</v>
      </c>
      <c r="E160" s="5" t="str">
        <f>UPPER(Experiment!X160:X197)</f>
        <v/>
      </c>
    </row>
    <row r="161">
      <c r="D161" s="3" t="s">
        <v>3942</v>
      </c>
      <c r="E161" s="5" t="str">
        <f>UPPER(Experiment!X161:X198)</f>
        <v/>
      </c>
    </row>
    <row r="162">
      <c r="D162" s="3" t="s">
        <v>3943</v>
      </c>
      <c r="E162" s="5" t="str">
        <f>UPPER(Experiment!X162:X199)</f>
        <v/>
      </c>
    </row>
    <row r="163">
      <c r="D163" s="3" t="s">
        <v>3944</v>
      </c>
      <c r="E163" s="5" t="str">
        <f>UPPER(Experiment!X163:X200)</f>
        <v/>
      </c>
    </row>
    <row r="164">
      <c r="D164" s="3" t="s">
        <v>3945</v>
      </c>
      <c r="E164" s="5" t="str">
        <f>UPPER(Experiment!X164:X201)</f>
        <v/>
      </c>
    </row>
    <row r="165">
      <c r="D165" s="3" t="s">
        <v>3946</v>
      </c>
      <c r="E165" s="5" t="str">
        <f>UPPER(Experiment!X165:X202)</f>
        <v/>
      </c>
    </row>
    <row r="166">
      <c r="D166" s="3" t="s">
        <v>3947</v>
      </c>
      <c r="E166" s="5" t="str">
        <f>UPPER(Experiment!X166:X203)</f>
        <v/>
      </c>
    </row>
    <row r="167">
      <c r="D167" s="3" t="s">
        <v>3948</v>
      </c>
      <c r="E167" s="5" t="str">
        <f>UPPER(Experiment!X167:X204)</f>
        <v/>
      </c>
    </row>
    <row r="168">
      <c r="D168" s="3" t="s">
        <v>3949</v>
      </c>
      <c r="E168" s="5" t="str">
        <f>UPPER(Experiment!X168:X205)</f>
        <v/>
      </c>
    </row>
    <row r="169">
      <c r="D169" s="3" t="s">
        <v>3950</v>
      </c>
      <c r="E169" s="5" t="str">
        <f>UPPER(Experiment!X169:X206)</f>
        <v/>
      </c>
    </row>
    <row r="170">
      <c r="D170" s="3" t="s">
        <v>3951</v>
      </c>
      <c r="E170" s="5" t="str">
        <f>UPPER(Experiment!X170:X207)</f>
        <v/>
      </c>
    </row>
    <row r="171">
      <c r="D171" s="3" t="s">
        <v>3952</v>
      </c>
      <c r="E171" s="5" t="str">
        <f>UPPER(Experiment!X171:X208)</f>
        <v/>
      </c>
    </row>
    <row r="172">
      <c r="D172" s="3" t="s">
        <v>3953</v>
      </c>
      <c r="E172" s="5" t="str">
        <f>UPPER(Experiment!X172:X209)</f>
        <v/>
      </c>
    </row>
    <row r="173">
      <c r="D173" s="3" t="s">
        <v>3954</v>
      </c>
      <c r="E173" s="5" t="str">
        <f>UPPER(Experiment!X173:X210)</f>
        <v/>
      </c>
    </row>
    <row r="174">
      <c r="D174" s="3" t="s">
        <v>3955</v>
      </c>
      <c r="E174" s="5" t="str">
        <f>UPPER(Experiment!X174:X211)</f>
        <v/>
      </c>
    </row>
    <row r="175">
      <c r="D175" s="3" t="s">
        <v>3956</v>
      </c>
      <c r="E175" s="5" t="str">
        <f>UPPER(Experiment!X175:X212)</f>
        <v/>
      </c>
    </row>
    <row r="176">
      <c r="D176" s="3" t="s">
        <v>3957</v>
      </c>
      <c r="E176" s="5" t="str">
        <f>UPPER(Experiment!X176:X213)</f>
        <v/>
      </c>
    </row>
    <row r="177">
      <c r="D177" s="3" t="s">
        <v>3958</v>
      </c>
      <c r="E177" s="5" t="str">
        <f>UPPER(Experiment!X177:X214)</f>
        <v/>
      </c>
    </row>
    <row r="178">
      <c r="D178" s="3" t="s">
        <v>3959</v>
      </c>
      <c r="E178" s="5" t="str">
        <f>UPPER(Experiment!X178:X215)</f>
        <v/>
      </c>
    </row>
    <row r="179">
      <c r="D179" s="3" t="s">
        <v>3960</v>
      </c>
      <c r="E179" s="5" t="str">
        <f>UPPER(Experiment!X179:X216)</f>
        <v/>
      </c>
    </row>
    <row r="180">
      <c r="D180" s="3" t="s">
        <v>3961</v>
      </c>
      <c r="E180" s="5" t="str">
        <f>UPPER(Experiment!X180:X217)</f>
        <v/>
      </c>
    </row>
    <row r="181">
      <c r="D181" s="3" t="s">
        <v>3962</v>
      </c>
      <c r="E181" s="5" t="str">
        <f>UPPER(Experiment!X181:X218)</f>
        <v/>
      </c>
    </row>
    <row r="182">
      <c r="D182" s="3" t="s">
        <v>3963</v>
      </c>
      <c r="E182" s="5" t="str">
        <f>UPPER(Experiment!X182:X219)</f>
        <v/>
      </c>
    </row>
    <row r="183">
      <c r="D183" s="3" t="s">
        <v>3964</v>
      </c>
      <c r="E183" s="5" t="str">
        <f>UPPER(Experiment!X183:X220)</f>
        <v/>
      </c>
    </row>
    <row r="184">
      <c r="D184" s="3" t="s">
        <v>3965</v>
      </c>
      <c r="E184" s="5" t="str">
        <f>UPPER(Experiment!X184:X221)</f>
        <v/>
      </c>
    </row>
    <row r="185">
      <c r="D185" s="3" t="s">
        <v>3966</v>
      </c>
      <c r="E185" s="5" t="str">
        <f>UPPER(Experiment!X185:X222)</f>
        <v/>
      </c>
    </row>
    <row r="186">
      <c r="D186" s="3" t="s">
        <v>3967</v>
      </c>
      <c r="E186" s="5" t="str">
        <f>UPPER(Experiment!X186:X223)</f>
        <v/>
      </c>
    </row>
    <row r="187">
      <c r="D187" s="3" t="s">
        <v>3968</v>
      </c>
      <c r="E187" s="5" t="str">
        <f>UPPER(Experiment!X187:X224)</f>
        <v/>
      </c>
    </row>
    <row r="188">
      <c r="D188" s="3" t="s">
        <v>3969</v>
      </c>
      <c r="E188" s="5" t="str">
        <f>UPPER(Experiment!X188:X225)</f>
        <v/>
      </c>
    </row>
    <row r="189">
      <c r="D189" s="3" t="s">
        <v>3970</v>
      </c>
      <c r="E189" s="5" t="str">
        <f>UPPER(Experiment!X189:X226)</f>
        <v/>
      </c>
    </row>
    <row r="190">
      <c r="D190" s="3" t="s">
        <v>3971</v>
      </c>
      <c r="E190" s="5" t="str">
        <f>UPPER(Experiment!X190:X227)</f>
        <v/>
      </c>
    </row>
    <row r="191">
      <c r="D191" s="3" t="s">
        <v>3972</v>
      </c>
      <c r="E191" s="5" t="str">
        <f>UPPER(Experiment!X191:X228)</f>
        <v/>
      </c>
    </row>
    <row r="192">
      <c r="D192" s="3" t="s">
        <v>3973</v>
      </c>
      <c r="E192" s="5" t="str">
        <f>UPPER(Experiment!X192:X229)</f>
        <v/>
      </c>
    </row>
    <row r="193">
      <c r="D193" s="3" t="s">
        <v>3974</v>
      </c>
      <c r="E193" s="5" t="str">
        <f>UPPER(Experiment!X193:X230)</f>
        <v/>
      </c>
    </row>
    <row r="194">
      <c r="D194" s="3" t="s">
        <v>3975</v>
      </c>
      <c r="E194" s="5" t="str">
        <f>UPPER(Experiment!X194:X231)</f>
        <v/>
      </c>
    </row>
    <row r="195">
      <c r="D195" s="3" t="s">
        <v>3976</v>
      </c>
      <c r="E195" s="5" t="str">
        <f>UPPER(Experiment!X195:X232)</f>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99.0"/>
    <col customWidth="1" min="3" max="3" width="29.75"/>
  </cols>
  <sheetData>
    <row r="1">
      <c r="A1" s="43" t="s">
        <v>3977</v>
      </c>
      <c r="B1" s="43" t="s">
        <v>3978</v>
      </c>
      <c r="C1" s="43" t="s">
        <v>3979</v>
      </c>
    </row>
    <row r="2">
      <c r="A2" s="44" t="s">
        <v>3980</v>
      </c>
      <c r="B2" s="45" t="s">
        <v>3981</v>
      </c>
      <c r="C2" s="43" t="s">
        <v>3982</v>
      </c>
    </row>
    <row r="3">
      <c r="A3" s="44" t="s">
        <v>3983</v>
      </c>
      <c r="B3" s="45">
        <v>79.0</v>
      </c>
      <c r="C3" s="43" t="s">
        <v>3984</v>
      </c>
    </row>
    <row r="4">
      <c r="A4" s="44" t="s">
        <v>3985</v>
      </c>
      <c r="B4" s="45">
        <v>123123.0</v>
      </c>
      <c r="C4" s="43" t="s">
        <v>3986</v>
      </c>
      <c r="D4" s="3" t="s">
        <v>3987</v>
      </c>
    </row>
    <row r="5">
      <c r="A5" s="44" t="s">
        <v>3988</v>
      </c>
      <c r="B5" s="46" t="s">
        <v>3989</v>
      </c>
      <c r="C5" s="43" t="s">
        <v>3990</v>
      </c>
    </row>
    <row r="6">
      <c r="A6" s="44" t="s">
        <v>3991</v>
      </c>
      <c r="B6" s="45" t="s">
        <v>3992</v>
      </c>
      <c r="C6" s="43" t="s">
        <v>3993</v>
      </c>
    </row>
  </sheetData>
  <hyperlinks>
    <hyperlink r:id="rId1" ref="B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0.13"/>
    <col customWidth="1" min="3" max="3" width="11.25"/>
    <col customWidth="1" min="4" max="4" width="6.25"/>
    <col customWidth="1" min="5" max="5" width="20.25"/>
  </cols>
  <sheetData>
    <row r="1">
      <c r="A1" s="44" t="s">
        <v>3994</v>
      </c>
      <c r="B1" s="44" t="s">
        <v>0</v>
      </c>
      <c r="C1" s="44" t="s">
        <v>3995</v>
      </c>
      <c r="D1" s="44" t="s">
        <v>3664</v>
      </c>
      <c r="E1" s="44" t="s">
        <v>3996</v>
      </c>
    </row>
    <row r="2">
      <c r="A2" s="3" t="s">
        <v>3997</v>
      </c>
      <c r="B2" s="3" t="s">
        <v>6</v>
      </c>
      <c r="C2" s="3" t="s">
        <v>7</v>
      </c>
      <c r="D2" s="3" t="s">
        <v>3998</v>
      </c>
      <c r="E2" s="3" t="s">
        <v>3999</v>
      </c>
    </row>
    <row r="3">
      <c r="A3" s="3" t="s">
        <v>4000</v>
      </c>
      <c r="B3" s="3" t="s">
        <v>6</v>
      </c>
      <c r="C3" s="3" t="s">
        <v>7</v>
      </c>
      <c r="D3" s="3" t="s">
        <v>3998</v>
      </c>
      <c r="E3" s="3" t="s">
        <v>3999</v>
      </c>
    </row>
    <row r="4">
      <c r="A4" s="3" t="s">
        <v>4001</v>
      </c>
      <c r="B4" s="3" t="s">
        <v>6</v>
      </c>
      <c r="C4" s="3" t="s">
        <v>7</v>
      </c>
      <c r="D4" s="3" t="s">
        <v>3998</v>
      </c>
      <c r="E4" s="3" t="s">
        <v>3999</v>
      </c>
    </row>
    <row r="5">
      <c r="A5" s="3" t="s">
        <v>4002</v>
      </c>
      <c r="B5" s="3" t="s">
        <v>51</v>
      </c>
      <c r="C5" s="3" t="s">
        <v>55</v>
      </c>
      <c r="D5" s="3" t="s">
        <v>3998</v>
      </c>
      <c r="E5" s="3" t="s">
        <v>3999</v>
      </c>
    </row>
    <row r="6">
      <c r="A6" s="3" t="s">
        <v>4003</v>
      </c>
      <c r="B6" s="3" t="s">
        <v>70</v>
      </c>
      <c r="C6" s="3" t="s">
        <v>72</v>
      </c>
      <c r="D6" s="3" t="s">
        <v>3998</v>
      </c>
      <c r="E6" s="3" t="s">
        <v>3999</v>
      </c>
    </row>
    <row r="7">
      <c r="A7" s="3" t="s">
        <v>4004</v>
      </c>
      <c r="B7" s="3" t="s">
        <v>74</v>
      </c>
      <c r="C7" s="3" t="s">
        <v>77</v>
      </c>
      <c r="D7" s="3" t="s">
        <v>3998</v>
      </c>
      <c r="E7" s="3" t="s">
        <v>3999</v>
      </c>
    </row>
    <row r="8">
      <c r="A8" s="3" t="s">
        <v>4005</v>
      </c>
      <c r="B8" s="3" t="s">
        <v>79</v>
      </c>
      <c r="C8" s="3" t="s">
        <v>81</v>
      </c>
      <c r="D8" s="3" t="s">
        <v>3998</v>
      </c>
      <c r="E8" s="3" t="s">
        <v>3999</v>
      </c>
    </row>
    <row r="9">
      <c r="A9" s="3" t="s">
        <v>4006</v>
      </c>
      <c r="B9" s="3" t="s">
        <v>83</v>
      </c>
      <c r="C9" s="3" t="s">
        <v>85</v>
      </c>
      <c r="D9" s="3" t="s">
        <v>3998</v>
      </c>
      <c r="E9" s="3" t="s">
        <v>3999</v>
      </c>
    </row>
    <row r="10">
      <c r="A10" s="3" t="s">
        <v>4007</v>
      </c>
      <c r="B10" s="3" t="s">
        <v>86</v>
      </c>
      <c r="C10" s="3" t="s">
        <v>88</v>
      </c>
      <c r="D10" s="3" t="s">
        <v>3998</v>
      </c>
      <c r="E10" s="3" t="s">
        <v>3999</v>
      </c>
    </row>
    <row r="11">
      <c r="A11" s="3" t="s">
        <v>4008</v>
      </c>
      <c r="B11" s="3" t="s">
        <v>90</v>
      </c>
      <c r="C11" s="3" t="s">
        <v>92</v>
      </c>
      <c r="D11" s="3" t="s">
        <v>3998</v>
      </c>
      <c r="E11" s="3" t="s">
        <v>3999</v>
      </c>
    </row>
    <row r="12">
      <c r="A12" s="3" t="s">
        <v>4009</v>
      </c>
      <c r="B12" s="3" t="s">
        <v>93</v>
      </c>
      <c r="C12" s="3" t="s">
        <v>95</v>
      </c>
      <c r="D12" s="3" t="s">
        <v>3998</v>
      </c>
      <c r="E12" s="3" t="s">
        <v>3999</v>
      </c>
    </row>
    <row r="13">
      <c r="A13" s="3" t="s">
        <v>4010</v>
      </c>
      <c r="B13" s="3" t="s">
        <v>97</v>
      </c>
      <c r="C13" s="3" t="s">
        <v>99</v>
      </c>
      <c r="D13" s="3" t="s">
        <v>3998</v>
      </c>
      <c r="E13" s="3" t="s">
        <v>3999</v>
      </c>
    </row>
    <row r="14">
      <c r="A14" s="3" t="s">
        <v>4011</v>
      </c>
      <c r="B14" s="3" t="s">
        <v>101</v>
      </c>
      <c r="C14" s="3" t="s">
        <v>103</v>
      </c>
      <c r="D14" s="3" t="s">
        <v>3998</v>
      </c>
      <c r="E14" s="3" t="s">
        <v>3999</v>
      </c>
    </row>
    <row r="15">
      <c r="A15" s="3" t="s">
        <v>4012</v>
      </c>
      <c r="B15" s="3" t="s">
        <v>105</v>
      </c>
      <c r="C15" s="3" t="s">
        <v>107</v>
      </c>
      <c r="D15" s="3" t="s">
        <v>3998</v>
      </c>
      <c r="E15" s="3" t="s">
        <v>3999</v>
      </c>
    </row>
    <row r="16">
      <c r="A16" s="3" t="s">
        <v>4013</v>
      </c>
      <c r="B16" s="3" t="s">
        <v>109</v>
      </c>
      <c r="C16" s="3" t="s">
        <v>111</v>
      </c>
      <c r="D16" s="3" t="s">
        <v>3998</v>
      </c>
      <c r="E16" s="3" t="s">
        <v>3999</v>
      </c>
    </row>
    <row r="17">
      <c r="A17" s="3" t="s">
        <v>4014</v>
      </c>
      <c r="B17" s="3" t="s">
        <v>113</v>
      </c>
      <c r="C17" s="3" t="s">
        <v>115</v>
      </c>
      <c r="D17" s="3" t="s">
        <v>3998</v>
      </c>
      <c r="E17" s="3" t="s">
        <v>3999</v>
      </c>
    </row>
    <row r="18">
      <c r="A18" s="3" t="s">
        <v>4015</v>
      </c>
      <c r="B18" s="3" t="s">
        <v>117</v>
      </c>
      <c r="C18" s="3" t="s">
        <v>121</v>
      </c>
      <c r="D18" s="3" t="s">
        <v>3998</v>
      </c>
      <c r="E18" s="3" t="s">
        <v>3999</v>
      </c>
    </row>
    <row r="19">
      <c r="A19" s="3" t="s">
        <v>4016</v>
      </c>
      <c r="B19" s="3" t="s">
        <v>123</v>
      </c>
      <c r="C19" s="3" t="s">
        <v>125</v>
      </c>
      <c r="D19" s="3" t="s">
        <v>3998</v>
      </c>
      <c r="E19" s="3" t="s">
        <v>3999</v>
      </c>
    </row>
    <row r="20">
      <c r="A20" s="3" t="s">
        <v>4017</v>
      </c>
      <c r="B20" s="3" t="s">
        <v>127</v>
      </c>
      <c r="C20" s="3" t="s">
        <v>129</v>
      </c>
      <c r="D20" s="3" t="s">
        <v>3998</v>
      </c>
      <c r="E20" s="3" t="s">
        <v>3999</v>
      </c>
    </row>
    <row r="21">
      <c r="A21" s="3" t="s">
        <v>4018</v>
      </c>
      <c r="B21" s="3" t="s">
        <v>131</v>
      </c>
      <c r="C21" s="3" t="s">
        <v>133</v>
      </c>
      <c r="D21" s="3" t="s">
        <v>3998</v>
      </c>
      <c r="E21" s="3" t="s">
        <v>3999</v>
      </c>
    </row>
    <row r="22">
      <c r="A22" s="3" t="s">
        <v>4019</v>
      </c>
      <c r="B22" s="3" t="s">
        <v>135</v>
      </c>
      <c r="D22" s="3" t="s">
        <v>4020</v>
      </c>
      <c r="E22" s="3" t="s">
        <v>4021</v>
      </c>
    </row>
    <row r="23">
      <c r="A23" s="3" t="s">
        <v>4019</v>
      </c>
      <c r="B23" s="3" t="s">
        <v>138</v>
      </c>
      <c r="C23" s="3" t="s">
        <v>140</v>
      </c>
      <c r="D23" s="3" t="s">
        <v>3998</v>
      </c>
      <c r="E23" s="3" t="s">
        <v>3999</v>
      </c>
    </row>
    <row r="24">
      <c r="A24" s="3" t="s">
        <v>4022</v>
      </c>
      <c r="B24" s="3" t="s">
        <v>142</v>
      </c>
      <c r="C24" s="3" t="s">
        <v>144</v>
      </c>
      <c r="D24" s="3" t="s">
        <v>3998</v>
      </c>
      <c r="E24" s="3" t="s">
        <v>3999</v>
      </c>
    </row>
    <row r="25">
      <c r="A25" s="3" t="s">
        <v>4023</v>
      </c>
      <c r="B25" s="3" t="s">
        <v>146</v>
      </c>
      <c r="C25" s="3" t="s">
        <v>148</v>
      </c>
      <c r="D25" s="3" t="s">
        <v>3998</v>
      </c>
      <c r="E25" s="3" t="s">
        <v>3999</v>
      </c>
    </row>
    <row r="26">
      <c r="A26" s="3" t="s">
        <v>4024</v>
      </c>
      <c r="B26" s="3" t="s">
        <v>150</v>
      </c>
      <c r="C26" s="3" t="s">
        <v>152</v>
      </c>
      <c r="D26" s="3" t="s">
        <v>3998</v>
      </c>
      <c r="E26" s="3" t="s">
        <v>3999</v>
      </c>
    </row>
    <row r="27">
      <c r="A27" s="3" t="s">
        <v>4025</v>
      </c>
      <c r="B27" s="3" t="s">
        <v>154</v>
      </c>
      <c r="C27" s="3" t="s">
        <v>156</v>
      </c>
      <c r="D27" s="3" t="s">
        <v>3998</v>
      </c>
      <c r="E27" s="3" t="s">
        <v>3999</v>
      </c>
    </row>
    <row r="28">
      <c r="A28" s="3" t="s">
        <v>4026</v>
      </c>
      <c r="B28" s="3" t="s">
        <v>158</v>
      </c>
      <c r="C28" s="3" t="s">
        <v>160</v>
      </c>
      <c r="D28" s="3" t="s">
        <v>3998</v>
      </c>
      <c r="E28" s="3" t="s">
        <v>3999</v>
      </c>
    </row>
    <row r="29">
      <c r="A29" s="3" t="s">
        <v>4027</v>
      </c>
      <c r="B29" s="3" t="s">
        <v>162</v>
      </c>
      <c r="C29" s="3" t="s">
        <v>164</v>
      </c>
      <c r="D29" s="3" t="s">
        <v>3998</v>
      </c>
      <c r="E29" s="3" t="s">
        <v>3999</v>
      </c>
    </row>
    <row r="30">
      <c r="A30" s="3" t="s">
        <v>4028</v>
      </c>
      <c r="B30" s="3" t="s">
        <v>166</v>
      </c>
      <c r="C30" s="3" t="s">
        <v>168</v>
      </c>
      <c r="D30" s="3" t="s">
        <v>3998</v>
      </c>
      <c r="E30" s="3" t="s">
        <v>3999</v>
      </c>
    </row>
    <row r="31">
      <c r="A31" s="3" t="s">
        <v>4029</v>
      </c>
      <c r="B31" s="3" t="s">
        <v>170</v>
      </c>
      <c r="C31" s="3" t="s">
        <v>172</v>
      </c>
      <c r="D31" s="3" t="s">
        <v>3998</v>
      </c>
      <c r="E31" s="3" t="s">
        <v>3999</v>
      </c>
    </row>
    <row r="32">
      <c r="A32" s="3" t="s">
        <v>4030</v>
      </c>
      <c r="B32" s="3" t="s">
        <v>174</v>
      </c>
      <c r="C32" s="3" t="s">
        <v>176</v>
      </c>
      <c r="D32" s="3" t="s">
        <v>3998</v>
      </c>
      <c r="E32" s="3" t="s">
        <v>3999</v>
      </c>
    </row>
    <row r="33">
      <c r="A33" s="3" t="s">
        <v>4031</v>
      </c>
      <c r="B33" s="3" t="s">
        <v>178</v>
      </c>
      <c r="C33" s="3" t="s">
        <v>180</v>
      </c>
      <c r="D33" s="3" t="s">
        <v>3998</v>
      </c>
      <c r="E33" s="3" t="s">
        <v>3999</v>
      </c>
    </row>
    <row r="34">
      <c r="A34" s="3" t="s">
        <v>4032</v>
      </c>
      <c r="B34" s="3" t="s">
        <v>182</v>
      </c>
      <c r="C34" s="3" t="s">
        <v>184</v>
      </c>
      <c r="D34" s="3" t="s">
        <v>3998</v>
      </c>
      <c r="E34" s="3" t="s">
        <v>3999</v>
      </c>
    </row>
    <row r="35">
      <c r="A35" s="3" t="s">
        <v>4033</v>
      </c>
      <c r="B35" s="3" t="s">
        <v>186</v>
      </c>
      <c r="C35" s="3" t="s">
        <v>189</v>
      </c>
      <c r="D35" s="3" t="s">
        <v>3998</v>
      </c>
      <c r="E35" s="3" t="s">
        <v>3999</v>
      </c>
    </row>
    <row r="36">
      <c r="A36" s="3" t="s">
        <v>4034</v>
      </c>
      <c r="B36" s="3" t="s">
        <v>202</v>
      </c>
      <c r="C36" s="3" t="s">
        <v>204</v>
      </c>
      <c r="D36" s="3" t="s">
        <v>3998</v>
      </c>
      <c r="E36" s="3" t="s">
        <v>3999</v>
      </c>
    </row>
    <row r="37">
      <c r="A37" s="3" t="s">
        <v>4035</v>
      </c>
      <c r="B37" s="3" t="s">
        <v>205</v>
      </c>
      <c r="C37" s="3" t="s">
        <v>207</v>
      </c>
      <c r="D37" s="3" t="s">
        <v>3998</v>
      </c>
      <c r="E37" s="3" t="s">
        <v>3999</v>
      </c>
    </row>
    <row r="38">
      <c r="A38" s="3" t="s">
        <v>4036</v>
      </c>
      <c r="B38" s="3" t="s">
        <v>209</v>
      </c>
      <c r="C38" s="3" t="s">
        <v>211</v>
      </c>
      <c r="D38" s="3" t="s">
        <v>3998</v>
      </c>
      <c r="E38" s="3" t="s">
        <v>3999</v>
      </c>
    </row>
    <row r="39">
      <c r="A39" s="3" t="s">
        <v>4037</v>
      </c>
      <c r="B39" s="3" t="s">
        <v>213</v>
      </c>
      <c r="C39" s="3" t="s">
        <v>215</v>
      </c>
      <c r="D39" s="3" t="s">
        <v>3998</v>
      </c>
      <c r="E39" s="3" t="s">
        <v>3999</v>
      </c>
    </row>
    <row r="40">
      <c r="A40" s="3" t="s">
        <v>4038</v>
      </c>
      <c r="B40" s="3" t="s">
        <v>217</v>
      </c>
      <c r="D40" s="3" t="s">
        <v>4020</v>
      </c>
      <c r="E40" s="3" t="s">
        <v>4021</v>
      </c>
    </row>
    <row r="41">
      <c r="A41" s="3" t="s">
        <v>4038</v>
      </c>
      <c r="B41" s="3" t="s">
        <v>219</v>
      </c>
      <c r="C41" s="3" t="s">
        <v>221</v>
      </c>
      <c r="D41" s="3" t="s">
        <v>3998</v>
      </c>
      <c r="E41" s="3" t="s">
        <v>3999</v>
      </c>
    </row>
    <row r="42">
      <c r="A42" s="3" t="s">
        <v>4039</v>
      </c>
      <c r="B42" s="3" t="s">
        <v>223</v>
      </c>
      <c r="C42" s="3" t="s">
        <v>225</v>
      </c>
      <c r="D42" s="3" t="s">
        <v>3998</v>
      </c>
      <c r="E42" s="3" t="s">
        <v>3999</v>
      </c>
    </row>
    <row r="43">
      <c r="A43" s="3" t="s">
        <v>4040</v>
      </c>
      <c r="B43" s="3" t="s">
        <v>227</v>
      </c>
      <c r="C43" s="3" t="s">
        <v>229</v>
      </c>
      <c r="D43" s="3" t="s">
        <v>3998</v>
      </c>
      <c r="E43" s="3" t="s">
        <v>3999</v>
      </c>
    </row>
    <row r="44">
      <c r="A44" s="3" t="s">
        <v>4041</v>
      </c>
      <c r="B44" s="3" t="s">
        <v>231</v>
      </c>
      <c r="C44" s="3" t="s">
        <v>235</v>
      </c>
      <c r="D44" s="3" t="s">
        <v>3998</v>
      </c>
      <c r="E44" s="3" t="s">
        <v>3999</v>
      </c>
    </row>
    <row r="45">
      <c r="A45" s="3" t="s">
        <v>4042</v>
      </c>
      <c r="B45" s="3" t="s">
        <v>252</v>
      </c>
      <c r="C45" s="3" t="s">
        <v>254</v>
      </c>
      <c r="D45" s="3" t="s">
        <v>3998</v>
      </c>
      <c r="E45" s="3" t="s">
        <v>3999</v>
      </c>
    </row>
    <row r="46">
      <c r="A46" s="3" t="s">
        <v>4043</v>
      </c>
      <c r="B46" s="3" t="s">
        <v>255</v>
      </c>
      <c r="C46" s="3" t="s">
        <v>257</v>
      </c>
      <c r="D46" s="3" t="s">
        <v>3998</v>
      </c>
      <c r="E46" s="3" t="s">
        <v>3999</v>
      </c>
    </row>
    <row r="47">
      <c r="A47" s="3" t="s">
        <v>4044</v>
      </c>
      <c r="B47" s="3" t="s">
        <v>259</v>
      </c>
      <c r="C47" s="3" t="s">
        <v>261</v>
      </c>
      <c r="D47" s="3" t="s">
        <v>3998</v>
      </c>
      <c r="E47" s="3" t="s">
        <v>3999</v>
      </c>
    </row>
    <row r="48">
      <c r="A48" s="3" t="s">
        <v>4045</v>
      </c>
      <c r="B48" s="3" t="s">
        <v>263</v>
      </c>
      <c r="C48" s="3" t="s">
        <v>266</v>
      </c>
      <c r="D48" s="3" t="s">
        <v>3998</v>
      </c>
      <c r="E48" s="3" t="s">
        <v>3999</v>
      </c>
    </row>
    <row r="49">
      <c r="A49" s="3" t="s">
        <v>4046</v>
      </c>
      <c r="B49" s="3" t="s">
        <v>281</v>
      </c>
      <c r="C49" s="3" t="s">
        <v>4047</v>
      </c>
      <c r="D49" s="3" t="s">
        <v>3998</v>
      </c>
      <c r="E49" s="3" t="s">
        <v>3999</v>
      </c>
    </row>
    <row r="50">
      <c r="A50" s="3" t="s">
        <v>4048</v>
      </c>
      <c r="B50" s="3" t="s">
        <v>285</v>
      </c>
      <c r="C50" s="3" t="s">
        <v>287</v>
      </c>
      <c r="D50" s="3" t="s">
        <v>3998</v>
      </c>
      <c r="E50" s="3" t="s">
        <v>3999</v>
      </c>
    </row>
    <row r="51">
      <c r="A51" s="3" t="s">
        <v>4049</v>
      </c>
      <c r="B51" s="3" t="s">
        <v>289</v>
      </c>
      <c r="C51" s="3" t="s">
        <v>292</v>
      </c>
      <c r="D51" s="3" t="s">
        <v>3998</v>
      </c>
      <c r="E51" s="3" t="s">
        <v>3999</v>
      </c>
    </row>
    <row r="52">
      <c r="A52" s="3" t="s">
        <v>4050</v>
      </c>
      <c r="B52" s="3" t="s">
        <v>304</v>
      </c>
      <c r="D52" s="3" t="s">
        <v>4020</v>
      </c>
      <c r="E52" s="3" t="s">
        <v>4021</v>
      </c>
    </row>
    <row r="53">
      <c r="A53" s="3" t="s">
        <v>4050</v>
      </c>
      <c r="B53" s="3" t="s">
        <v>318</v>
      </c>
      <c r="D53" s="3" t="s">
        <v>4020</v>
      </c>
      <c r="E53" s="3" t="s">
        <v>4021</v>
      </c>
    </row>
    <row r="54">
      <c r="A54" s="3" t="s">
        <v>4050</v>
      </c>
      <c r="B54" s="3" t="s">
        <v>320</v>
      </c>
      <c r="C54" s="3" t="s">
        <v>322</v>
      </c>
      <c r="D54" s="3" t="s">
        <v>3998</v>
      </c>
      <c r="E54" s="3" t="s">
        <v>3999</v>
      </c>
    </row>
    <row r="55">
      <c r="A55" s="3" t="s">
        <v>4051</v>
      </c>
      <c r="B55" s="3" t="s">
        <v>324</v>
      </c>
      <c r="C55" s="3" t="s">
        <v>326</v>
      </c>
      <c r="D55" s="3" t="s">
        <v>3998</v>
      </c>
      <c r="E55" s="3" t="s">
        <v>3999</v>
      </c>
    </row>
    <row r="56">
      <c r="A56" s="3" t="s">
        <v>4052</v>
      </c>
      <c r="B56" s="3" t="s">
        <v>328</v>
      </c>
      <c r="C56" s="3" t="s">
        <v>330</v>
      </c>
      <c r="D56" s="3" t="s">
        <v>3998</v>
      </c>
      <c r="E56" s="3" t="s">
        <v>3999</v>
      </c>
    </row>
    <row r="57">
      <c r="A57" s="3" t="s">
        <v>4053</v>
      </c>
      <c r="B57" s="3" t="s">
        <v>332</v>
      </c>
      <c r="C57" s="3" t="s">
        <v>334</v>
      </c>
      <c r="D57" s="3" t="s">
        <v>3998</v>
      </c>
      <c r="E57" s="3" t="s">
        <v>3999</v>
      </c>
    </row>
    <row r="58">
      <c r="A58" s="3" t="s">
        <v>4054</v>
      </c>
      <c r="B58" s="3" t="s">
        <v>336</v>
      </c>
      <c r="C58" s="3" t="s">
        <v>338</v>
      </c>
      <c r="D58" s="3" t="s">
        <v>3998</v>
      </c>
      <c r="E58" s="3" t="s">
        <v>3999</v>
      </c>
    </row>
    <row r="59">
      <c r="A59" s="3" t="s">
        <v>4055</v>
      </c>
      <c r="B59" s="3" t="s">
        <v>340</v>
      </c>
      <c r="C59" s="3" t="s">
        <v>342</v>
      </c>
      <c r="D59" s="3" t="s">
        <v>3998</v>
      </c>
      <c r="E59" s="3" t="s">
        <v>3999</v>
      </c>
    </row>
    <row r="60">
      <c r="A60" s="3" t="s">
        <v>4056</v>
      </c>
      <c r="B60" s="3" t="s">
        <v>343</v>
      </c>
      <c r="C60" s="3" t="s">
        <v>345</v>
      </c>
      <c r="D60" s="3" t="s">
        <v>3998</v>
      </c>
      <c r="E60" s="3" t="s">
        <v>3999</v>
      </c>
    </row>
    <row r="61">
      <c r="A61" s="3" t="s">
        <v>4057</v>
      </c>
      <c r="B61" s="3" t="s">
        <v>347</v>
      </c>
      <c r="C61" s="3" t="s">
        <v>349</v>
      </c>
      <c r="D61" s="3" t="s">
        <v>3998</v>
      </c>
      <c r="E61" s="3" t="s">
        <v>3999</v>
      </c>
    </row>
    <row r="62">
      <c r="A62" s="3" t="s">
        <v>4058</v>
      </c>
      <c r="B62" s="3" t="s">
        <v>351</v>
      </c>
      <c r="C62" s="3" t="s">
        <v>353</v>
      </c>
      <c r="D62" s="3" t="s">
        <v>3998</v>
      </c>
      <c r="E62" s="3" t="s">
        <v>3999</v>
      </c>
    </row>
    <row r="63">
      <c r="A63" s="3" t="s">
        <v>4059</v>
      </c>
      <c r="B63" s="3" t="s">
        <v>355</v>
      </c>
      <c r="C63" s="3" t="s">
        <v>357</v>
      </c>
      <c r="D63" s="3" t="s">
        <v>3998</v>
      </c>
      <c r="E63" s="3" t="s">
        <v>3999</v>
      </c>
    </row>
    <row r="64">
      <c r="A64" s="3" t="s">
        <v>4060</v>
      </c>
      <c r="B64" s="3" t="s">
        <v>359</v>
      </c>
      <c r="C64" s="3" t="s">
        <v>361</v>
      </c>
      <c r="D64" s="3" t="s">
        <v>3998</v>
      </c>
      <c r="E64" s="3" t="s">
        <v>3999</v>
      </c>
    </row>
    <row r="65">
      <c r="A65" s="3" t="s">
        <v>4061</v>
      </c>
      <c r="B65" s="3" t="s">
        <v>363</v>
      </c>
      <c r="C65" s="3" t="s">
        <v>365</v>
      </c>
      <c r="D65" s="3" t="s">
        <v>3998</v>
      </c>
      <c r="E65" s="3" t="s">
        <v>3999</v>
      </c>
    </row>
    <row r="66">
      <c r="A66" s="3" t="s">
        <v>4062</v>
      </c>
      <c r="B66" s="3" t="s">
        <v>367</v>
      </c>
      <c r="C66" s="3" t="s">
        <v>369</v>
      </c>
      <c r="D66" s="3" t="s">
        <v>3998</v>
      </c>
      <c r="E66" s="3" t="s">
        <v>3999</v>
      </c>
    </row>
    <row r="67">
      <c r="A67" s="3" t="s">
        <v>4063</v>
      </c>
      <c r="B67" s="3" t="s">
        <v>371</v>
      </c>
      <c r="C67" s="3" t="s">
        <v>374</v>
      </c>
      <c r="D67" s="3" t="s">
        <v>3998</v>
      </c>
      <c r="E67" s="3" t="s">
        <v>3999</v>
      </c>
    </row>
    <row r="68">
      <c r="A68" s="3" t="s">
        <v>4064</v>
      </c>
      <c r="B68" s="3" t="s">
        <v>377</v>
      </c>
      <c r="C68" s="3" t="s">
        <v>379</v>
      </c>
      <c r="D68" s="3" t="s">
        <v>3998</v>
      </c>
      <c r="E68" s="3" t="s">
        <v>3999</v>
      </c>
    </row>
    <row r="69">
      <c r="A69" s="3" t="s">
        <v>4065</v>
      </c>
      <c r="B69" s="3" t="s">
        <v>381</v>
      </c>
      <c r="C69" s="3" t="s">
        <v>384</v>
      </c>
      <c r="D69" s="3" t="s">
        <v>3998</v>
      </c>
      <c r="E69" s="3" t="s">
        <v>3999</v>
      </c>
    </row>
    <row r="70">
      <c r="A70" s="3" t="s">
        <v>4066</v>
      </c>
      <c r="B70" s="3" t="s">
        <v>396</v>
      </c>
      <c r="C70" s="3" t="s">
        <v>398</v>
      </c>
      <c r="D70" s="3" t="s">
        <v>3998</v>
      </c>
      <c r="E70" s="3" t="s">
        <v>3999</v>
      </c>
    </row>
    <row r="71">
      <c r="A71" s="3" t="s">
        <v>4066</v>
      </c>
      <c r="B71" s="3" t="s">
        <v>399</v>
      </c>
      <c r="C71" s="3" t="s">
        <v>401</v>
      </c>
      <c r="D71" s="3" t="s">
        <v>3998</v>
      </c>
      <c r="E71" s="3" t="s">
        <v>3999</v>
      </c>
    </row>
    <row r="72">
      <c r="A72" s="3" t="s">
        <v>4067</v>
      </c>
      <c r="B72" s="3" t="s">
        <v>403</v>
      </c>
      <c r="C72" s="3" t="s">
        <v>405</v>
      </c>
      <c r="D72" s="3" t="s">
        <v>3998</v>
      </c>
      <c r="E72" s="3" t="s">
        <v>3999</v>
      </c>
    </row>
    <row r="73">
      <c r="A73" s="3" t="s">
        <v>4068</v>
      </c>
      <c r="B73" s="3" t="s">
        <v>407</v>
      </c>
      <c r="C73" s="3" t="s">
        <v>409</v>
      </c>
      <c r="D73" s="3" t="s">
        <v>3998</v>
      </c>
      <c r="E73" s="3" t="s">
        <v>3999</v>
      </c>
    </row>
    <row r="74">
      <c r="A74" s="3" t="s">
        <v>4069</v>
      </c>
      <c r="B74" s="3" t="s">
        <v>411</v>
      </c>
      <c r="D74" s="3" t="s">
        <v>4020</v>
      </c>
      <c r="E74" s="3" t="s">
        <v>4021</v>
      </c>
    </row>
    <row r="75">
      <c r="A75" s="3" t="s">
        <v>4069</v>
      </c>
      <c r="B75" s="3" t="s">
        <v>414</v>
      </c>
      <c r="C75" s="3" t="s">
        <v>416</v>
      </c>
      <c r="D75" s="3" t="s">
        <v>3998</v>
      </c>
      <c r="E75" s="3" t="s">
        <v>3999</v>
      </c>
    </row>
    <row r="76">
      <c r="A76" s="3" t="s">
        <v>4070</v>
      </c>
      <c r="B76" s="3" t="s">
        <v>418</v>
      </c>
      <c r="C76" s="3" t="s">
        <v>420</v>
      </c>
      <c r="D76" s="3" t="s">
        <v>3998</v>
      </c>
      <c r="E76" s="3" t="s">
        <v>3999</v>
      </c>
    </row>
    <row r="77">
      <c r="A77" s="3" t="s">
        <v>4071</v>
      </c>
      <c r="B77" s="3" t="s">
        <v>422</v>
      </c>
      <c r="C77" s="3" t="s">
        <v>424</v>
      </c>
      <c r="D77" s="3" t="s">
        <v>3998</v>
      </c>
      <c r="E77" s="3" t="s">
        <v>3999</v>
      </c>
    </row>
    <row r="78">
      <c r="A78" s="3" t="s">
        <v>4072</v>
      </c>
      <c r="B78" s="3" t="s">
        <v>426</v>
      </c>
      <c r="C78" s="3" t="s">
        <v>428</v>
      </c>
      <c r="D78" s="3" t="s">
        <v>3998</v>
      </c>
      <c r="E78" s="3" t="s">
        <v>3999</v>
      </c>
    </row>
    <row r="79">
      <c r="A79" s="3" t="s">
        <v>4073</v>
      </c>
      <c r="B79" s="3" t="s">
        <v>430</v>
      </c>
      <c r="C79" s="3" t="s">
        <v>432</v>
      </c>
      <c r="D79" s="3" t="s">
        <v>3998</v>
      </c>
      <c r="E79" s="3" t="s">
        <v>3999</v>
      </c>
    </row>
    <row r="80">
      <c r="A80" s="3" t="s">
        <v>4074</v>
      </c>
      <c r="B80" s="3" t="s">
        <v>434</v>
      </c>
      <c r="C80" s="3" t="s">
        <v>437</v>
      </c>
      <c r="D80" s="3" t="s">
        <v>3998</v>
      </c>
      <c r="E80" s="3" t="s">
        <v>3999</v>
      </c>
    </row>
    <row r="81">
      <c r="A81" s="3" t="s">
        <v>4075</v>
      </c>
      <c r="B81" s="3" t="s">
        <v>449</v>
      </c>
      <c r="C81" s="3" t="s">
        <v>451</v>
      </c>
      <c r="D81" s="3" t="s">
        <v>3998</v>
      </c>
      <c r="E81" s="3" t="s">
        <v>3999</v>
      </c>
    </row>
    <row r="82">
      <c r="A82" s="3" t="s">
        <v>4076</v>
      </c>
      <c r="B82" s="3" t="s">
        <v>453</v>
      </c>
      <c r="C82" s="3" t="s">
        <v>456</v>
      </c>
      <c r="D82" s="3" t="s">
        <v>3998</v>
      </c>
      <c r="E82" s="3" t="s">
        <v>3999</v>
      </c>
    </row>
    <row r="83">
      <c r="A83" s="3" t="s">
        <v>4077</v>
      </c>
      <c r="B83" s="3" t="s">
        <v>466</v>
      </c>
      <c r="C83" s="3" t="s">
        <v>468</v>
      </c>
      <c r="D83" s="3" t="s">
        <v>3998</v>
      </c>
      <c r="E83" s="3" t="s">
        <v>3999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7" max="27" width="16.88"/>
  </cols>
  <sheetData>
    <row r="1">
      <c r="A1" s="47" t="s">
        <v>32</v>
      </c>
      <c r="B1" s="47"/>
      <c r="C1" s="47"/>
      <c r="D1" s="47" t="s">
        <v>34</v>
      </c>
      <c r="E1" s="48"/>
      <c r="F1" s="48"/>
      <c r="L1" s="3">
        <v>18.0</v>
      </c>
      <c r="M1" s="3">
        <v>2002.0</v>
      </c>
      <c r="N1" s="3">
        <v>2003.0</v>
      </c>
      <c r="O1" s="5" t="str">
        <f t="shared" ref="O1:O23" si="1">L1&amp;" ("&amp;M1&amp;"/"&amp;N1&amp;")"</f>
        <v>18 (2002/2003)</v>
      </c>
      <c r="R1" s="3" t="s">
        <v>4078</v>
      </c>
      <c r="W1" s="43" t="s">
        <v>4079</v>
      </c>
      <c r="X1" s="43" t="s">
        <v>4080</v>
      </c>
      <c r="Y1" s="43" t="s">
        <v>4081</v>
      </c>
    </row>
    <row r="2">
      <c r="A2" s="49" t="s">
        <v>4082</v>
      </c>
      <c r="B2" s="49"/>
      <c r="C2" s="49"/>
      <c r="D2" s="49" t="s">
        <v>4083</v>
      </c>
      <c r="E2" s="50"/>
      <c r="F2" s="50"/>
      <c r="H2" s="1" t="s">
        <v>4084</v>
      </c>
      <c r="I2" s="5" t="str">
        <f t="shared" ref="I2:I74" si="2">UPPER(H2)</f>
        <v>LAKI-LAKI</v>
      </c>
      <c r="L2" s="3">
        <v>19.0</v>
      </c>
      <c r="M2" s="3">
        <v>2003.0</v>
      </c>
      <c r="N2" s="3">
        <v>2004.0</v>
      </c>
      <c r="O2" s="5" t="str">
        <f t="shared" si="1"/>
        <v>19 (2003/2004)</v>
      </c>
      <c r="R2" s="3" t="s">
        <v>4085</v>
      </c>
      <c r="S2" s="5">
        <f>IFERROR(__xludf.DUMMYFUNCTION("SPLIT(R2,"","")"),1.0)</f>
        <v>1</v>
      </c>
      <c r="T2" s="5" t="str">
        <f>IFERROR(__xludf.DUMMYFUNCTION("""COMPUTED_VALUE"""),"Afganistan")</f>
        <v>Afganistan</v>
      </c>
      <c r="U2" s="5" t="str">
        <f>IFERROR(__xludf.DUMMYFUNCTION("""COMPUTED_VALUE"""),"Asia")</f>
        <v>Asia</v>
      </c>
      <c r="W2" s="43">
        <v>1.0</v>
      </c>
      <c r="X2" s="43" t="s">
        <v>4086</v>
      </c>
      <c r="Y2" s="43" t="s">
        <v>4087</v>
      </c>
      <c r="AA2" s="3" t="s">
        <v>4088</v>
      </c>
      <c r="AB2" s="5" t="str">
        <f t="shared" ref="AB2:AB103" si="3">UPPER(AA2)</f>
        <v>IAIN KUDUS</v>
      </c>
    </row>
    <row r="3">
      <c r="A3" s="51" t="s">
        <v>487</v>
      </c>
      <c r="B3" s="51"/>
      <c r="C3" s="51"/>
      <c r="D3" s="51" t="s">
        <v>4089</v>
      </c>
      <c r="E3" s="52"/>
      <c r="F3" s="52"/>
      <c r="H3" s="1" t="s">
        <v>4084</v>
      </c>
      <c r="I3" s="5" t="str">
        <f t="shared" si="2"/>
        <v>LAKI-LAKI</v>
      </c>
      <c r="L3" s="3">
        <v>20.0</v>
      </c>
      <c r="M3" s="3">
        <v>2004.0</v>
      </c>
      <c r="N3" s="3">
        <v>2005.0</v>
      </c>
      <c r="O3" s="5" t="str">
        <f t="shared" si="1"/>
        <v>20 (2004/2005)</v>
      </c>
      <c r="R3" s="3" t="s">
        <v>4090</v>
      </c>
      <c r="S3" s="5">
        <f>IFERROR(__xludf.DUMMYFUNCTION("SPLIT(R3,"","")"),2.0)</f>
        <v>2</v>
      </c>
      <c r="T3" s="5" t="str">
        <f>IFERROR(__xludf.DUMMYFUNCTION("""COMPUTED_VALUE"""),"Afrika Selatan")</f>
        <v>Afrika Selatan</v>
      </c>
      <c r="U3" s="5" t="str">
        <f>IFERROR(__xludf.DUMMYFUNCTION("""COMPUTED_VALUE"""),"Afrika")</f>
        <v>Afrika</v>
      </c>
      <c r="W3" s="43">
        <v>2.0</v>
      </c>
      <c r="X3" s="43" t="s">
        <v>4091</v>
      </c>
      <c r="Y3" s="43" t="s">
        <v>4092</v>
      </c>
      <c r="AA3" s="3" t="s">
        <v>4093</v>
      </c>
      <c r="AB3" s="5" t="str">
        <f t="shared" si="3"/>
        <v>INSTITUT KESENIAN JAKARTA</v>
      </c>
    </row>
    <row r="4">
      <c r="A4" s="49" t="s">
        <v>487</v>
      </c>
      <c r="B4" s="49"/>
      <c r="C4" s="49"/>
      <c r="D4" s="49" t="s">
        <v>489</v>
      </c>
      <c r="E4" s="50"/>
      <c r="F4" s="50"/>
      <c r="H4" s="1" t="s">
        <v>4094</v>
      </c>
      <c r="I4" s="5" t="str">
        <f t="shared" si="2"/>
        <v>PEREMPUAN</v>
      </c>
      <c r="L4" s="3">
        <v>21.0</v>
      </c>
      <c r="M4" s="3">
        <v>2005.0</v>
      </c>
      <c r="N4" s="3">
        <v>2006.0</v>
      </c>
      <c r="O4" s="5" t="str">
        <f t="shared" si="1"/>
        <v>21 (2005/2006)</v>
      </c>
      <c r="R4" s="3" t="s">
        <v>4095</v>
      </c>
      <c r="S4" s="5">
        <f>IFERROR(__xludf.DUMMYFUNCTION("SPLIT(R4,"","")"),3.0)</f>
        <v>3</v>
      </c>
      <c r="T4" s="5" t="str">
        <f>IFERROR(__xludf.DUMMYFUNCTION("""COMPUTED_VALUE"""),"Albania")</f>
        <v>Albania</v>
      </c>
      <c r="U4" s="5" t="str">
        <f>IFERROR(__xludf.DUMMYFUNCTION("""COMPUTED_VALUE"""),"Eropa")</f>
        <v>Eropa</v>
      </c>
      <c r="W4" s="43">
        <v>3.0</v>
      </c>
      <c r="X4" s="43" t="s">
        <v>4096</v>
      </c>
      <c r="Y4" s="43" t="s">
        <v>4097</v>
      </c>
      <c r="AA4" s="3" t="s">
        <v>4098</v>
      </c>
      <c r="AB4" s="5" t="str">
        <f t="shared" si="3"/>
        <v>INSTITUT PERTANIAN BOGOR</v>
      </c>
    </row>
    <row r="5">
      <c r="A5" s="51" t="s">
        <v>487</v>
      </c>
      <c r="B5" s="51"/>
      <c r="C5" s="51"/>
      <c r="D5" s="51" t="s">
        <v>4099</v>
      </c>
      <c r="E5" s="52"/>
      <c r="F5" s="52"/>
      <c r="H5" s="1" t="s">
        <v>4094</v>
      </c>
      <c r="I5" s="5" t="str">
        <f t="shared" si="2"/>
        <v>PEREMPUAN</v>
      </c>
      <c r="L5" s="3">
        <v>22.0</v>
      </c>
      <c r="M5" s="3">
        <v>2006.0</v>
      </c>
      <c r="N5" s="3">
        <v>2007.0</v>
      </c>
      <c r="O5" s="5" t="str">
        <f t="shared" si="1"/>
        <v>22 (2006/2007)</v>
      </c>
      <c r="R5" s="3" t="s">
        <v>4100</v>
      </c>
      <c r="S5" s="5">
        <f>IFERROR(__xludf.DUMMYFUNCTION("SPLIT(R5,"","")"),4.0)</f>
        <v>4</v>
      </c>
      <c r="T5" s="5" t="str">
        <f>IFERROR(__xludf.DUMMYFUNCTION("""COMPUTED_VALUE"""),"Aljazair")</f>
        <v>Aljazair</v>
      </c>
      <c r="U5" s="5" t="str">
        <f>IFERROR(__xludf.DUMMYFUNCTION("""COMPUTED_VALUE"""),"Afrika")</f>
        <v>Afrika</v>
      </c>
      <c r="W5" s="43">
        <v>4.0</v>
      </c>
      <c r="X5" s="43" t="s">
        <v>4101</v>
      </c>
      <c r="Y5" s="43" t="s">
        <v>4101</v>
      </c>
      <c r="AA5" s="5" t="s">
        <v>4102</v>
      </c>
      <c r="AB5" s="5" t="str">
        <f t="shared" si="3"/>
        <v>INSTITUT SENI INDONESIA YOGYAKARTA</v>
      </c>
    </row>
    <row r="6">
      <c r="A6" s="49" t="s">
        <v>4103</v>
      </c>
      <c r="B6" s="49"/>
      <c r="C6" s="49"/>
      <c r="D6" s="49" t="s">
        <v>4104</v>
      </c>
      <c r="E6" s="50"/>
      <c r="F6" s="50"/>
      <c r="H6" s="1" t="s">
        <v>4084</v>
      </c>
      <c r="I6" s="5" t="str">
        <f t="shared" si="2"/>
        <v>LAKI-LAKI</v>
      </c>
      <c r="L6" s="3">
        <v>23.0</v>
      </c>
      <c r="M6" s="3">
        <v>2007.0</v>
      </c>
      <c r="N6" s="3">
        <v>2008.0</v>
      </c>
      <c r="O6" s="5" t="str">
        <f t="shared" si="1"/>
        <v>23 (2007/2008)</v>
      </c>
      <c r="R6" s="3" t="s">
        <v>4105</v>
      </c>
      <c r="S6" s="5">
        <f>IFERROR(__xludf.DUMMYFUNCTION("SPLIT(R6,"","")"),5.0)</f>
        <v>5</v>
      </c>
      <c r="T6" s="5" t="str">
        <f>IFERROR(__xludf.DUMMYFUNCTION("""COMPUTED_VALUE"""),"Amerika Serikat")</f>
        <v>Amerika Serikat</v>
      </c>
      <c r="U6" s="5" t="str">
        <f>IFERROR(__xludf.DUMMYFUNCTION("""COMPUTED_VALUE"""),"Amerika Utara")</f>
        <v>Amerika Utara</v>
      </c>
      <c r="W6" s="43">
        <v>5.0</v>
      </c>
      <c r="X6" s="43" t="s">
        <v>4106</v>
      </c>
      <c r="Y6" s="43" t="s">
        <v>4107</v>
      </c>
      <c r="AA6" s="3" t="s">
        <v>4108</v>
      </c>
      <c r="AB6" s="5" t="str">
        <f t="shared" si="3"/>
        <v>INSTITUT TEKNOLOGI BANDUNG</v>
      </c>
    </row>
    <row r="7">
      <c r="A7" s="51" t="s">
        <v>4109</v>
      </c>
      <c r="B7" s="51"/>
      <c r="C7" s="51"/>
      <c r="D7" s="51" t="s">
        <v>4110</v>
      </c>
      <c r="E7" s="52"/>
      <c r="F7" s="52"/>
      <c r="H7" s="1" t="s">
        <v>4094</v>
      </c>
      <c r="I7" s="5" t="str">
        <f t="shared" si="2"/>
        <v>PEREMPUAN</v>
      </c>
      <c r="L7" s="3">
        <v>24.0</v>
      </c>
      <c r="M7" s="3">
        <v>2008.0</v>
      </c>
      <c r="N7" s="3">
        <v>2009.0</v>
      </c>
      <c r="O7" s="5" t="str">
        <f t="shared" si="1"/>
        <v>24 (2008/2009)</v>
      </c>
      <c r="R7" s="3" t="s">
        <v>4111</v>
      </c>
      <c r="S7" s="5">
        <f>IFERROR(__xludf.DUMMYFUNCTION("SPLIT(R7,"","")"),6.0)</f>
        <v>6</v>
      </c>
      <c r="T7" s="5" t="str">
        <f>IFERROR(__xludf.DUMMYFUNCTION("""COMPUTED_VALUE"""),"Andorra")</f>
        <v>Andorra</v>
      </c>
      <c r="U7" s="5" t="str">
        <f>IFERROR(__xludf.DUMMYFUNCTION("""COMPUTED_VALUE"""),"Eropa")</f>
        <v>Eropa</v>
      </c>
      <c r="W7" s="43">
        <v>6.0</v>
      </c>
      <c r="X7" s="43" t="s">
        <v>4112</v>
      </c>
      <c r="Y7" s="43" t="s">
        <v>4113</v>
      </c>
      <c r="AA7" s="3" t="s">
        <v>4114</v>
      </c>
      <c r="AB7" s="5" t="str">
        <f t="shared" si="3"/>
        <v>INSTITUT TEKNOLOGI HARAPAN BANGSA</v>
      </c>
    </row>
    <row r="8">
      <c r="A8" s="49" t="s">
        <v>487</v>
      </c>
      <c r="B8" s="49"/>
      <c r="C8" s="49"/>
      <c r="D8" s="49" t="s">
        <v>4115</v>
      </c>
      <c r="E8" s="50"/>
      <c r="F8" s="50"/>
      <c r="H8" s="1" t="s">
        <v>4094</v>
      </c>
      <c r="I8" s="5" t="str">
        <f t="shared" si="2"/>
        <v>PEREMPUAN</v>
      </c>
      <c r="L8" s="3">
        <v>25.0</v>
      </c>
      <c r="M8" s="3">
        <v>2009.0</v>
      </c>
      <c r="N8" s="3">
        <v>2010.0</v>
      </c>
      <c r="O8" s="5" t="str">
        <f t="shared" si="1"/>
        <v>25 (2009/2010)</v>
      </c>
      <c r="R8" s="3" t="s">
        <v>4116</v>
      </c>
      <c r="S8" s="5">
        <f>IFERROR(__xludf.DUMMYFUNCTION("SPLIT(R8,"","")"),7.0)</f>
        <v>7</v>
      </c>
      <c r="T8" s="5" t="str">
        <f>IFERROR(__xludf.DUMMYFUNCTION("""COMPUTED_VALUE"""),"Angola")</f>
        <v>Angola</v>
      </c>
      <c r="U8" s="5" t="str">
        <f>IFERROR(__xludf.DUMMYFUNCTION("""COMPUTED_VALUE"""),"Afrika")</f>
        <v>Afrika</v>
      </c>
      <c r="W8" s="43">
        <v>7.0</v>
      </c>
      <c r="X8" s="43" t="s">
        <v>4117</v>
      </c>
      <c r="Y8" s="43" t="s">
        <v>4117</v>
      </c>
      <c r="AA8" s="3" t="s">
        <v>4118</v>
      </c>
      <c r="AB8" s="5" t="str">
        <f t="shared" si="3"/>
        <v>INSTITUT TEKNOLOGI KALIMANTAN</v>
      </c>
    </row>
    <row r="9">
      <c r="A9" s="51" t="s">
        <v>4119</v>
      </c>
      <c r="B9" s="51"/>
      <c r="C9" s="51"/>
      <c r="D9" s="51" t="s">
        <v>4119</v>
      </c>
      <c r="E9" s="52"/>
      <c r="F9" s="52"/>
      <c r="H9" s="1" t="s">
        <v>4094</v>
      </c>
      <c r="I9" s="5" t="str">
        <f t="shared" si="2"/>
        <v>PEREMPUAN</v>
      </c>
      <c r="L9" s="3">
        <v>26.0</v>
      </c>
      <c r="M9" s="3">
        <v>2010.0</v>
      </c>
      <c r="N9" s="3">
        <v>2011.0</v>
      </c>
      <c r="O9" s="5" t="str">
        <f t="shared" si="1"/>
        <v>26 (2010/2011)</v>
      </c>
      <c r="R9" s="3" t="s">
        <v>4120</v>
      </c>
      <c r="S9" s="5">
        <f>IFERROR(__xludf.DUMMYFUNCTION("SPLIT(R9,"","")"),8.0)</f>
        <v>8</v>
      </c>
      <c r="T9" s="5" t="str">
        <f>IFERROR(__xludf.DUMMYFUNCTION("""COMPUTED_VALUE"""),"Antigua dan Barbuda")</f>
        <v>Antigua dan Barbuda</v>
      </c>
      <c r="U9" s="5" t="str">
        <f>IFERROR(__xludf.DUMMYFUNCTION("""COMPUTED_VALUE"""),"Amerika Utara")</f>
        <v>Amerika Utara</v>
      </c>
      <c r="W9" s="43">
        <v>8.0</v>
      </c>
      <c r="X9" s="43" t="s">
        <v>4121</v>
      </c>
      <c r="Y9" s="43" t="s">
        <v>4121</v>
      </c>
      <c r="AA9" s="53" t="s">
        <v>4122</v>
      </c>
      <c r="AB9" s="5" t="str">
        <f t="shared" si="3"/>
        <v>INSTITUT TEKNOLOGI NASIONAL</v>
      </c>
    </row>
    <row r="10">
      <c r="A10" s="49" t="s">
        <v>487</v>
      </c>
      <c r="B10" s="49"/>
      <c r="C10" s="49"/>
      <c r="D10" s="49" t="s">
        <v>4123</v>
      </c>
      <c r="E10" s="50"/>
      <c r="F10" s="50"/>
      <c r="H10" s="1" t="s">
        <v>4084</v>
      </c>
      <c r="I10" s="5" t="str">
        <f t="shared" si="2"/>
        <v>LAKI-LAKI</v>
      </c>
      <c r="L10" s="3">
        <v>27.0</v>
      </c>
      <c r="M10" s="3">
        <v>2011.0</v>
      </c>
      <c r="N10" s="3">
        <v>2012.0</v>
      </c>
      <c r="O10" s="5" t="str">
        <f t="shared" si="1"/>
        <v>27 (2011/2012)</v>
      </c>
      <c r="R10" s="3" t="s">
        <v>4124</v>
      </c>
      <c r="S10" s="5">
        <f>IFERROR(__xludf.DUMMYFUNCTION("SPLIT(R10,"","")"),9.0)</f>
        <v>9</v>
      </c>
      <c r="T10" s="5" t="str">
        <f>IFERROR(__xludf.DUMMYFUNCTION("""COMPUTED_VALUE"""),"Arab Saudi")</f>
        <v>Arab Saudi</v>
      </c>
      <c r="U10" s="5" t="str">
        <f>IFERROR(__xludf.DUMMYFUNCTION("""COMPUTED_VALUE"""),"Asia")</f>
        <v>Asia</v>
      </c>
      <c r="W10" s="43">
        <v>9.0</v>
      </c>
      <c r="X10" s="43" t="s">
        <v>483</v>
      </c>
      <c r="Y10" s="43" t="s">
        <v>4125</v>
      </c>
      <c r="AA10" s="3" t="s">
        <v>4126</v>
      </c>
      <c r="AB10" s="5" t="str">
        <f t="shared" si="3"/>
        <v>INSTITUT TEKNOLOGI SEPULUH NOPEMBER</v>
      </c>
    </row>
    <row r="11">
      <c r="A11" s="51" t="s">
        <v>4103</v>
      </c>
      <c r="B11" s="51"/>
      <c r="C11" s="51"/>
      <c r="D11" s="51" t="s">
        <v>4127</v>
      </c>
      <c r="E11" s="52"/>
      <c r="F11" s="52"/>
      <c r="H11" s="1" t="s">
        <v>4084</v>
      </c>
      <c r="I11" s="5" t="str">
        <f t="shared" si="2"/>
        <v>LAKI-LAKI</v>
      </c>
      <c r="L11" s="3">
        <v>28.0</v>
      </c>
      <c r="M11" s="3">
        <v>2012.0</v>
      </c>
      <c r="N11" s="3">
        <v>2013.0</v>
      </c>
      <c r="O11" s="5" t="str">
        <f t="shared" si="1"/>
        <v>28 (2012/2013)</v>
      </c>
      <c r="R11" s="3" t="s">
        <v>4128</v>
      </c>
      <c r="S11" s="5">
        <f>IFERROR(__xludf.DUMMYFUNCTION("SPLIT(R11,"","")"),10.0)</f>
        <v>10</v>
      </c>
      <c r="T11" s="5" t="str">
        <f>IFERROR(__xludf.DUMMYFUNCTION("""COMPUTED_VALUE"""),"Argentina")</f>
        <v>Argentina</v>
      </c>
      <c r="U11" s="5" t="str">
        <f>IFERROR(__xludf.DUMMYFUNCTION("""COMPUTED_VALUE"""),"Amerika Selatan")</f>
        <v>Amerika Selatan</v>
      </c>
      <c r="W11" s="43">
        <v>10.0</v>
      </c>
      <c r="X11" s="43" t="s">
        <v>4129</v>
      </c>
      <c r="Y11" s="43" t="s">
        <v>4130</v>
      </c>
      <c r="AA11" s="3" t="s">
        <v>4131</v>
      </c>
      <c r="AB11" s="5" t="str">
        <f t="shared" si="3"/>
        <v>POLITEKNIK ELEKTRONIKA NEGERI SURABAYA</v>
      </c>
    </row>
    <row r="12">
      <c r="A12" s="49" t="s">
        <v>487</v>
      </c>
      <c r="B12" s="49"/>
      <c r="C12" s="49"/>
      <c r="D12" s="49" t="s">
        <v>4132</v>
      </c>
      <c r="E12" s="50"/>
      <c r="F12" s="50"/>
      <c r="H12" s="1" t="s">
        <v>4084</v>
      </c>
      <c r="I12" s="5" t="str">
        <f t="shared" si="2"/>
        <v>LAKI-LAKI</v>
      </c>
      <c r="L12" s="3">
        <v>29.0</v>
      </c>
      <c r="M12" s="3">
        <v>2013.0</v>
      </c>
      <c r="N12" s="3">
        <v>2014.0</v>
      </c>
      <c r="O12" s="5" t="str">
        <f t="shared" si="1"/>
        <v>29 (2013/2014)</v>
      </c>
      <c r="R12" s="3" t="s">
        <v>4133</v>
      </c>
      <c r="S12" s="5">
        <f>IFERROR(__xludf.DUMMYFUNCTION("SPLIT(R12,"","")"),11.0)</f>
        <v>11</v>
      </c>
      <c r="T12" s="5" t="str">
        <f>IFERROR(__xludf.DUMMYFUNCTION("""COMPUTED_VALUE"""),"Armenia")</f>
        <v>Armenia</v>
      </c>
      <c r="U12" s="5" t="str">
        <f>IFERROR(__xludf.DUMMYFUNCTION("""COMPUTED_VALUE"""),"Asia")</f>
        <v>Asia</v>
      </c>
      <c r="W12" s="43">
        <v>11.0</v>
      </c>
      <c r="X12" s="43" t="s">
        <v>4134</v>
      </c>
      <c r="Y12" s="43" t="s">
        <v>4135</v>
      </c>
      <c r="AA12" s="3" t="s">
        <v>4136</v>
      </c>
      <c r="AB12" s="5" t="str">
        <f t="shared" si="3"/>
        <v>POLITEKNIK NEGERI BANDUNG</v>
      </c>
    </row>
    <row r="13">
      <c r="A13" s="51" t="s">
        <v>4137</v>
      </c>
      <c r="B13" s="51"/>
      <c r="C13" s="51"/>
      <c r="D13" s="51" t="s">
        <v>4119</v>
      </c>
      <c r="E13" s="52"/>
      <c r="F13" s="52"/>
      <c r="H13" s="1" t="s">
        <v>4084</v>
      </c>
      <c r="I13" s="5" t="str">
        <f t="shared" si="2"/>
        <v>LAKI-LAKI</v>
      </c>
      <c r="L13" s="3">
        <v>30.0</v>
      </c>
      <c r="M13" s="3">
        <v>2014.0</v>
      </c>
      <c r="N13" s="3">
        <v>2015.0</v>
      </c>
      <c r="O13" s="5" t="str">
        <f t="shared" si="1"/>
        <v>30 (2014/2015)</v>
      </c>
      <c r="R13" s="3" t="s">
        <v>4138</v>
      </c>
      <c r="S13" s="5">
        <f>IFERROR(__xludf.DUMMYFUNCTION("SPLIT(R13,"","")"),12.0)</f>
        <v>12</v>
      </c>
      <c r="T13" s="5" t="str">
        <f>IFERROR(__xludf.DUMMYFUNCTION("""COMPUTED_VALUE"""),"Australia")</f>
        <v>Australia</v>
      </c>
      <c r="U13" s="5" t="str">
        <f>IFERROR(__xludf.DUMMYFUNCTION("""COMPUTED_VALUE"""),"Australia/Oceania")</f>
        <v>Australia/Oceania</v>
      </c>
      <c r="W13" s="43">
        <v>12.0</v>
      </c>
      <c r="X13" s="43" t="s">
        <v>4139</v>
      </c>
      <c r="Y13" s="43" t="s">
        <v>4140</v>
      </c>
      <c r="AA13" s="3" t="s">
        <v>4141</v>
      </c>
      <c r="AB13" s="5" t="str">
        <f t="shared" si="3"/>
        <v>POLITEKNIK NEGERI BATAM</v>
      </c>
    </row>
    <row r="14">
      <c r="A14" s="49" t="s">
        <v>487</v>
      </c>
      <c r="B14" s="49"/>
      <c r="C14" s="49"/>
      <c r="D14" s="49" t="s">
        <v>4142</v>
      </c>
      <c r="E14" s="50"/>
      <c r="F14" s="50"/>
      <c r="H14" s="1" t="s">
        <v>4094</v>
      </c>
      <c r="I14" s="5" t="str">
        <f t="shared" si="2"/>
        <v>PEREMPUAN</v>
      </c>
      <c r="L14" s="3">
        <v>31.0</v>
      </c>
      <c r="M14" s="3">
        <v>2015.0</v>
      </c>
      <c r="N14" s="3">
        <v>2016.0</v>
      </c>
      <c r="O14" s="5" t="str">
        <f t="shared" si="1"/>
        <v>31 (2015/2016)</v>
      </c>
      <c r="R14" s="3" t="s">
        <v>4143</v>
      </c>
      <c r="S14" s="5">
        <f>IFERROR(__xludf.DUMMYFUNCTION("SPLIT(R14,"","")"),13.0)</f>
        <v>13</v>
      </c>
      <c r="T14" s="5" t="str">
        <f>IFERROR(__xludf.DUMMYFUNCTION("""COMPUTED_VALUE"""),"Austria")</f>
        <v>Austria</v>
      </c>
      <c r="U14" s="5" t="str">
        <f>IFERROR(__xludf.DUMMYFUNCTION("""COMPUTED_VALUE"""),"Eropa")</f>
        <v>Eropa</v>
      </c>
      <c r="W14" s="43">
        <v>13.0</v>
      </c>
      <c r="X14" s="43" t="s">
        <v>4144</v>
      </c>
      <c r="Y14" s="43" t="s">
        <v>4145</v>
      </c>
      <c r="AA14" s="3" t="s">
        <v>4146</v>
      </c>
      <c r="AB14" s="5" t="str">
        <f t="shared" si="3"/>
        <v>POLITEKNIK NEGERI MALANG</v>
      </c>
    </row>
    <row r="15">
      <c r="A15" s="51" t="s">
        <v>487</v>
      </c>
      <c r="B15" s="51"/>
      <c r="C15" s="51"/>
      <c r="D15" s="51" t="s">
        <v>4147</v>
      </c>
      <c r="E15" s="52"/>
      <c r="F15" s="52"/>
      <c r="H15" s="1" t="s">
        <v>4084</v>
      </c>
      <c r="I15" s="5" t="str">
        <f t="shared" si="2"/>
        <v>LAKI-LAKI</v>
      </c>
      <c r="L15" s="3">
        <v>32.0</v>
      </c>
      <c r="M15" s="3">
        <v>2016.0</v>
      </c>
      <c r="N15" s="3">
        <v>2017.0</v>
      </c>
      <c r="O15" s="5" t="str">
        <f t="shared" si="1"/>
        <v>32 (2016/2017)</v>
      </c>
      <c r="R15" s="3" t="s">
        <v>4148</v>
      </c>
      <c r="S15" s="5">
        <f>IFERROR(__xludf.DUMMYFUNCTION("SPLIT(R15,"","")"),14.0)</f>
        <v>14</v>
      </c>
      <c r="T15" s="5" t="str">
        <f>IFERROR(__xludf.DUMMYFUNCTION("""COMPUTED_VALUE"""),"Azerbaijan")</f>
        <v>Azerbaijan</v>
      </c>
      <c r="U15" s="5" t="str">
        <f>IFERROR(__xludf.DUMMYFUNCTION("""COMPUTED_VALUE"""),"Asia")</f>
        <v>Asia</v>
      </c>
      <c r="W15" s="43">
        <v>14.0</v>
      </c>
      <c r="X15" s="43" t="s">
        <v>4149</v>
      </c>
      <c r="Y15" s="43" t="s">
        <v>4150</v>
      </c>
      <c r="AA15" s="3" t="s">
        <v>4151</v>
      </c>
      <c r="AB15" s="5" t="str">
        <f t="shared" si="3"/>
        <v>POLITEKNIK NEGERI SAMARINDA</v>
      </c>
    </row>
    <row r="16">
      <c r="A16" s="49" t="s">
        <v>487</v>
      </c>
      <c r="B16" s="49"/>
      <c r="C16" s="49"/>
      <c r="D16" s="49" t="s">
        <v>4152</v>
      </c>
      <c r="E16" s="50"/>
      <c r="F16" s="50"/>
      <c r="H16" s="1" t="s">
        <v>4094</v>
      </c>
      <c r="I16" s="5" t="str">
        <f t="shared" si="2"/>
        <v>PEREMPUAN</v>
      </c>
      <c r="L16" s="3">
        <v>33.0</v>
      </c>
      <c r="M16" s="3">
        <v>2017.0</v>
      </c>
      <c r="N16" s="3">
        <v>2018.0</v>
      </c>
      <c r="O16" s="5" t="str">
        <f t="shared" si="1"/>
        <v>33 (2017/2018)</v>
      </c>
      <c r="R16" s="3" t="s">
        <v>4153</v>
      </c>
      <c r="S16" s="5">
        <f>IFERROR(__xludf.DUMMYFUNCTION("SPLIT(R16,"","")"),15.0)</f>
        <v>15</v>
      </c>
      <c r="T16" s="5" t="str">
        <f>IFERROR(__xludf.DUMMYFUNCTION("""COMPUTED_VALUE"""),"Bahama")</f>
        <v>Bahama</v>
      </c>
      <c r="U16" s="5" t="str">
        <f>IFERROR(__xludf.DUMMYFUNCTION("""COMPUTED_VALUE"""),"Amerika Utara")</f>
        <v>Amerika Utara</v>
      </c>
      <c r="W16" s="43">
        <v>15.0</v>
      </c>
      <c r="X16" s="43" t="s">
        <v>4154</v>
      </c>
      <c r="Y16" s="43" t="s">
        <v>4155</v>
      </c>
      <c r="AA16" s="3" t="s">
        <v>4156</v>
      </c>
      <c r="AB16" s="5" t="str">
        <f t="shared" si="3"/>
        <v>POLITEKNIK NEGERI SEMARANG</v>
      </c>
    </row>
    <row r="17">
      <c r="A17" s="51" t="s">
        <v>4103</v>
      </c>
      <c r="B17" s="51"/>
      <c r="C17" s="51"/>
      <c r="D17" s="51" t="s">
        <v>4157</v>
      </c>
      <c r="E17" s="52"/>
      <c r="F17" s="52"/>
      <c r="H17" s="1" t="s">
        <v>4084</v>
      </c>
      <c r="I17" s="5" t="str">
        <f t="shared" si="2"/>
        <v>LAKI-LAKI</v>
      </c>
      <c r="L17" s="3">
        <v>34.0</v>
      </c>
      <c r="M17" s="3">
        <v>2018.0</v>
      </c>
      <c r="N17" s="3">
        <v>2019.0</v>
      </c>
      <c r="O17" s="5" t="str">
        <f t="shared" si="1"/>
        <v>34 (2018/2019)</v>
      </c>
      <c r="R17" s="3" t="s">
        <v>4158</v>
      </c>
      <c r="S17" s="5">
        <f>IFERROR(__xludf.DUMMYFUNCTION("SPLIT(R17,"","")"),16.0)</f>
        <v>16</v>
      </c>
      <c r="T17" s="5" t="str">
        <f>IFERROR(__xludf.DUMMYFUNCTION("""COMPUTED_VALUE"""),"Bahrain")</f>
        <v>Bahrain</v>
      </c>
      <c r="U17" s="5" t="str">
        <f>IFERROR(__xludf.DUMMYFUNCTION("""COMPUTED_VALUE"""),"Asia")</f>
        <v>Asia</v>
      </c>
      <c r="W17" s="43">
        <v>16.0</v>
      </c>
      <c r="X17" s="43" t="s">
        <v>4159</v>
      </c>
      <c r="Y17" s="43" t="s">
        <v>4160</v>
      </c>
      <c r="AA17" s="3" t="s">
        <v>4161</v>
      </c>
      <c r="AB17" s="5" t="str">
        <f t="shared" si="3"/>
        <v>SEKOLAH TINGGI ILMU EKONOMI MALANGKUCECWARA</v>
      </c>
    </row>
    <row r="18">
      <c r="A18" s="49" t="s">
        <v>4103</v>
      </c>
      <c r="B18" s="49"/>
      <c r="C18" s="49"/>
      <c r="D18" s="49" t="s">
        <v>4162</v>
      </c>
      <c r="E18" s="50"/>
      <c r="F18" s="50"/>
      <c r="H18" s="1" t="s">
        <v>4084</v>
      </c>
      <c r="I18" s="5" t="str">
        <f t="shared" si="2"/>
        <v>LAKI-LAKI</v>
      </c>
      <c r="L18" s="3">
        <v>35.0</v>
      </c>
      <c r="M18" s="3">
        <v>2019.0</v>
      </c>
      <c r="N18" s="3">
        <v>2020.0</v>
      </c>
      <c r="O18" s="5" t="str">
        <f t="shared" si="1"/>
        <v>35 (2019/2020)</v>
      </c>
      <c r="R18" s="3" t="s">
        <v>4163</v>
      </c>
      <c r="S18" s="5">
        <f>IFERROR(__xludf.DUMMYFUNCTION("SPLIT(R18,"","")"),17.0)</f>
        <v>17</v>
      </c>
      <c r="T18" s="5" t="str">
        <f>IFERROR(__xludf.DUMMYFUNCTION("""COMPUTED_VALUE"""),"Bangladesh")</f>
        <v>Bangladesh</v>
      </c>
      <c r="U18" s="5" t="str">
        <f>IFERROR(__xludf.DUMMYFUNCTION("""COMPUTED_VALUE"""),"Asia")</f>
        <v>Asia</v>
      </c>
      <c r="W18" s="43">
        <v>17.0</v>
      </c>
      <c r="X18" s="43" t="s">
        <v>4164</v>
      </c>
      <c r="Y18" s="43" t="s">
        <v>4165</v>
      </c>
      <c r="AA18" s="5" t="s">
        <v>4166</v>
      </c>
      <c r="AB18" s="5" t="str">
        <f t="shared" si="3"/>
        <v>SEKOLAH TINGGI ILMU EKONOMI YKPN</v>
      </c>
    </row>
    <row r="19">
      <c r="A19" s="51" t="s">
        <v>4167</v>
      </c>
      <c r="B19" s="51"/>
      <c r="C19" s="51"/>
      <c r="D19" s="51" t="s">
        <v>4168</v>
      </c>
      <c r="E19" s="52"/>
      <c r="F19" s="52"/>
      <c r="H19" s="1" t="s">
        <v>4084</v>
      </c>
      <c r="I19" s="5" t="str">
        <f t="shared" si="2"/>
        <v>LAKI-LAKI</v>
      </c>
      <c r="L19" s="3">
        <v>36.0</v>
      </c>
      <c r="M19" s="3">
        <v>2020.0</v>
      </c>
      <c r="N19" s="3">
        <v>2021.0</v>
      </c>
      <c r="O19" s="5" t="str">
        <f t="shared" si="1"/>
        <v>36 (2020/2021)</v>
      </c>
      <c r="R19" s="3" t="s">
        <v>4169</v>
      </c>
      <c r="S19" s="5">
        <f>IFERROR(__xludf.DUMMYFUNCTION("SPLIT(R19,"","")"),18.0)</f>
        <v>18</v>
      </c>
      <c r="T19" s="5" t="str">
        <f>IFERROR(__xludf.DUMMYFUNCTION("""COMPUTED_VALUE"""),"Barbados")</f>
        <v>Barbados</v>
      </c>
      <c r="U19" s="5" t="str">
        <f>IFERROR(__xludf.DUMMYFUNCTION("""COMPUTED_VALUE"""),"Amerika Utara")</f>
        <v>Amerika Utara</v>
      </c>
      <c r="W19" s="43">
        <v>18.0</v>
      </c>
      <c r="X19" s="43" t="s">
        <v>4170</v>
      </c>
      <c r="Y19" s="43" t="s">
        <v>4171</v>
      </c>
      <c r="AA19" s="3" t="s">
        <v>4172</v>
      </c>
      <c r="AB19" s="5" t="str">
        <f t="shared" si="3"/>
        <v>STKIP ABDI WACANA WAMENA</v>
      </c>
    </row>
    <row r="20">
      <c r="A20" s="49" t="s">
        <v>487</v>
      </c>
      <c r="B20" s="49"/>
      <c r="C20" s="49"/>
      <c r="D20" s="49" t="s">
        <v>4173</v>
      </c>
      <c r="E20" s="50"/>
      <c r="F20" s="50"/>
      <c r="H20" s="1" t="s">
        <v>4084</v>
      </c>
      <c r="I20" s="5" t="str">
        <f t="shared" si="2"/>
        <v>LAKI-LAKI</v>
      </c>
      <c r="L20" s="3">
        <v>37.0</v>
      </c>
      <c r="M20" s="3">
        <v>2021.0</v>
      </c>
      <c r="N20" s="3">
        <v>2022.0</v>
      </c>
      <c r="O20" s="5" t="str">
        <f t="shared" si="1"/>
        <v>37 (2021/2022)</v>
      </c>
      <c r="R20" s="3" t="s">
        <v>4174</v>
      </c>
      <c r="S20" s="5">
        <f>IFERROR(__xludf.DUMMYFUNCTION("SPLIT(R20,"","")"),19.0)</f>
        <v>19</v>
      </c>
      <c r="T20" s="5" t="str">
        <f>IFERROR(__xludf.DUMMYFUNCTION("""COMPUTED_VALUE"""),"Belanda")</f>
        <v>Belanda</v>
      </c>
      <c r="U20" s="5" t="str">
        <f>IFERROR(__xludf.DUMMYFUNCTION("""COMPUTED_VALUE"""),"Eropa")</f>
        <v>Eropa</v>
      </c>
      <c r="W20" s="43">
        <v>19.0</v>
      </c>
      <c r="X20" s="43" t="s">
        <v>4175</v>
      </c>
      <c r="Y20" s="43" t="s">
        <v>4176</v>
      </c>
      <c r="AA20" s="3" t="s">
        <v>4177</v>
      </c>
      <c r="AB20" s="5" t="str">
        <f t="shared" si="3"/>
        <v>UNIVERSITAS AIRLANGGA</v>
      </c>
    </row>
    <row r="21">
      <c r="A21" s="51" t="s">
        <v>4178</v>
      </c>
      <c r="B21" s="51"/>
      <c r="C21" s="51"/>
      <c r="D21" s="51" t="s">
        <v>4179</v>
      </c>
      <c r="E21" s="52"/>
      <c r="F21" s="52"/>
      <c r="H21" s="1" t="s">
        <v>4084</v>
      </c>
      <c r="I21" s="5" t="str">
        <f t="shared" si="2"/>
        <v>LAKI-LAKI</v>
      </c>
      <c r="L21" s="3">
        <v>38.0</v>
      </c>
      <c r="M21" s="3">
        <v>2022.0</v>
      </c>
      <c r="N21" s="3">
        <v>2023.0</v>
      </c>
      <c r="O21" s="5" t="str">
        <f t="shared" si="1"/>
        <v>38 (2022/2023)</v>
      </c>
      <c r="R21" s="3" t="s">
        <v>4180</v>
      </c>
      <c r="S21" s="5">
        <f>IFERROR(__xludf.DUMMYFUNCTION("SPLIT(R21,"","")"),20.0)</f>
        <v>20</v>
      </c>
      <c r="T21" s="5" t="str">
        <f>IFERROR(__xludf.DUMMYFUNCTION("""COMPUTED_VALUE"""),"Belarus")</f>
        <v>Belarus</v>
      </c>
      <c r="U21" s="5" t="str">
        <f>IFERROR(__xludf.DUMMYFUNCTION("""COMPUTED_VALUE"""),"Eropa")</f>
        <v>Eropa</v>
      </c>
      <c r="W21" s="43">
        <v>20.0</v>
      </c>
      <c r="X21" s="43" t="s">
        <v>4181</v>
      </c>
      <c r="Y21" s="43" t="s">
        <v>4182</v>
      </c>
      <c r="AA21" s="3" t="s">
        <v>4183</v>
      </c>
      <c r="AB21" s="5" t="str">
        <f t="shared" si="3"/>
        <v>UNIVERSITAS ANDALAS</v>
      </c>
    </row>
    <row r="22">
      <c r="A22" s="49" t="s">
        <v>487</v>
      </c>
      <c r="B22" s="49"/>
      <c r="C22" s="49"/>
      <c r="D22" s="49" t="s">
        <v>4184</v>
      </c>
      <c r="E22" s="50"/>
      <c r="F22" s="50"/>
      <c r="H22" s="1" t="s">
        <v>4084</v>
      </c>
      <c r="I22" s="5" t="str">
        <f t="shared" si="2"/>
        <v>LAKI-LAKI</v>
      </c>
      <c r="L22" s="3">
        <v>39.0</v>
      </c>
      <c r="M22" s="3">
        <v>2023.0</v>
      </c>
      <c r="N22" s="3">
        <v>2024.0</v>
      </c>
      <c r="O22" s="5" t="str">
        <f t="shared" si="1"/>
        <v>39 (2023/2024)</v>
      </c>
      <c r="R22" s="3" t="s">
        <v>4185</v>
      </c>
      <c r="S22" s="5">
        <f>IFERROR(__xludf.DUMMYFUNCTION("SPLIT(R22,"","")"),21.0)</f>
        <v>21</v>
      </c>
      <c r="T22" s="5" t="str">
        <f>IFERROR(__xludf.DUMMYFUNCTION("""COMPUTED_VALUE"""),"Belgia")</f>
        <v>Belgia</v>
      </c>
      <c r="U22" s="5" t="str">
        <f>IFERROR(__xludf.DUMMYFUNCTION("""COMPUTED_VALUE"""),"Eropa")</f>
        <v>Eropa</v>
      </c>
      <c r="W22" s="43">
        <v>21.0</v>
      </c>
      <c r="X22" s="43" t="s">
        <v>4186</v>
      </c>
      <c r="Y22" s="43" t="s">
        <v>4187</v>
      </c>
      <c r="AA22" s="5" t="s">
        <v>4188</v>
      </c>
      <c r="AB22" s="5" t="str">
        <f t="shared" si="3"/>
        <v>UNIVERSITAS ATMA JAYA YOGYAKARTA</v>
      </c>
    </row>
    <row r="23">
      <c r="A23" s="51" t="s">
        <v>487</v>
      </c>
      <c r="B23" s="51"/>
      <c r="C23" s="51"/>
      <c r="D23" s="51" t="s">
        <v>4189</v>
      </c>
      <c r="E23" s="52"/>
      <c r="F23" s="52"/>
      <c r="H23" s="1" t="s">
        <v>4094</v>
      </c>
      <c r="I23" s="5" t="str">
        <f t="shared" si="2"/>
        <v>PEREMPUAN</v>
      </c>
      <c r="L23" s="3">
        <v>40.0</v>
      </c>
      <c r="M23" s="3">
        <v>2024.0</v>
      </c>
      <c r="N23" s="3">
        <v>2025.0</v>
      </c>
      <c r="O23" s="5" t="str">
        <f t="shared" si="1"/>
        <v>40 (2024/2025)</v>
      </c>
      <c r="R23" s="3" t="s">
        <v>4190</v>
      </c>
      <c r="S23" s="5">
        <f>IFERROR(__xludf.DUMMYFUNCTION("SPLIT(R23,"","")"),22.0)</f>
        <v>22</v>
      </c>
      <c r="T23" s="5" t="str">
        <f>IFERROR(__xludf.DUMMYFUNCTION("""COMPUTED_VALUE"""),"Belize")</f>
        <v>Belize</v>
      </c>
      <c r="U23" s="5" t="str">
        <f>IFERROR(__xludf.DUMMYFUNCTION("""COMPUTED_VALUE"""),"Amerika Utara")</f>
        <v>Amerika Utara</v>
      </c>
      <c r="W23" s="43">
        <v>22.0</v>
      </c>
      <c r="X23" s="43" t="s">
        <v>4191</v>
      </c>
      <c r="Y23" s="43" t="s">
        <v>4192</v>
      </c>
      <c r="AA23" s="3" t="s">
        <v>4193</v>
      </c>
      <c r="AB23" s="5" t="str">
        <f t="shared" si="3"/>
        <v>UNIVERSITAS BANGKA BELITUNG</v>
      </c>
    </row>
    <row r="24">
      <c r="A24" s="49" t="s">
        <v>4137</v>
      </c>
      <c r="B24" s="49"/>
      <c r="C24" s="49"/>
      <c r="D24" s="49" t="s">
        <v>4194</v>
      </c>
      <c r="E24" s="50"/>
      <c r="F24" s="50"/>
      <c r="H24" s="1" t="s">
        <v>4084</v>
      </c>
      <c r="I24" s="5" t="str">
        <f t="shared" si="2"/>
        <v>LAKI-LAKI</v>
      </c>
      <c r="R24" s="3" t="s">
        <v>4195</v>
      </c>
      <c r="S24" s="5">
        <f>IFERROR(__xludf.DUMMYFUNCTION("SPLIT(R24,"","")"),23.0)</f>
        <v>23</v>
      </c>
      <c r="T24" s="5" t="str">
        <f>IFERROR(__xludf.DUMMYFUNCTION("""COMPUTED_VALUE"""),"Benin")</f>
        <v>Benin</v>
      </c>
      <c r="U24" s="5" t="str">
        <f>IFERROR(__xludf.DUMMYFUNCTION("""COMPUTED_VALUE"""),"Afrika")</f>
        <v>Afrika</v>
      </c>
      <c r="W24" s="43">
        <v>23.0</v>
      </c>
      <c r="X24" s="43" t="s">
        <v>4196</v>
      </c>
      <c r="Y24" s="43" t="s">
        <v>4197</v>
      </c>
      <c r="AA24" s="3" t="s">
        <v>4198</v>
      </c>
      <c r="AB24" s="5" t="str">
        <f t="shared" si="3"/>
        <v>UNIVERSITAS BENGKULU</v>
      </c>
    </row>
    <row r="25">
      <c r="A25" s="51" t="s">
        <v>4119</v>
      </c>
      <c r="B25" s="51"/>
      <c r="C25" s="51"/>
      <c r="D25" s="51" t="s">
        <v>4119</v>
      </c>
      <c r="E25" s="52"/>
      <c r="F25" s="52"/>
      <c r="H25" s="1" t="s">
        <v>4094</v>
      </c>
      <c r="I25" s="5" t="str">
        <f t="shared" si="2"/>
        <v>PEREMPUAN</v>
      </c>
      <c r="R25" s="3" t="s">
        <v>4199</v>
      </c>
      <c r="S25" s="5">
        <f>IFERROR(__xludf.DUMMYFUNCTION("SPLIT(R25,"","")"),24.0)</f>
        <v>24</v>
      </c>
      <c r="T25" s="5" t="str">
        <f>IFERROR(__xludf.DUMMYFUNCTION("""COMPUTED_VALUE"""),"Bhutan")</f>
        <v>Bhutan</v>
      </c>
      <c r="U25" s="5" t="str">
        <f>IFERROR(__xludf.DUMMYFUNCTION("""COMPUTED_VALUE"""),"Asia")</f>
        <v>Asia</v>
      </c>
      <c r="W25" s="43">
        <v>24.0</v>
      </c>
      <c r="X25" s="43" t="s">
        <v>4200</v>
      </c>
      <c r="Y25" s="43" t="s">
        <v>4201</v>
      </c>
      <c r="AA25" s="3" t="s">
        <v>4202</v>
      </c>
      <c r="AB25" s="5" t="str">
        <f t="shared" si="3"/>
        <v>UNIVERSITAS BINA NUSANTARA</v>
      </c>
    </row>
    <row r="26">
      <c r="A26" s="49" t="s">
        <v>4203</v>
      </c>
      <c r="B26" s="49"/>
      <c r="C26" s="49"/>
      <c r="D26" s="49" t="s">
        <v>4204</v>
      </c>
      <c r="E26" s="50"/>
      <c r="F26" s="50"/>
      <c r="H26" s="1" t="s">
        <v>4084</v>
      </c>
      <c r="I26" s="5" t="str">
        <f t="shared" si="2"/>
        <v>LAKI-LAKI</v>
      </c>
      <c r="R26" s="3" t="s">
        <v>4205</v>
      </c>
      <c r="S26" s="5">
        <f>IFERROR(__xludf.DUMMYFUNCTION("SPLIT(R26,"","")"),25.0)</f>
        <v>25</v>
      </c>
      <c r="T26" s="5" t="str">
        <f>IFERROR(__xludf.DUMMYFUNCTION("""COMPUTED_VALUE"""),"Bolivia")</f>
        <v>Bolivia</v>
      </c>
      <c r="U26" s="5" t="str">
        <f>IFERROR(__xludf.DUMMYFUNCTION("""COMPUTED_VALUE"""),"Amerika Selatan")</f>
        <v>Amerika Selatan</v>
      </c>
      <c r="W26" s="43">
        <v>25.0</v>
      </c>
      <c r="X26" s="43" t="s">
        <v>4206</v>
      </c>
      <c r="Y26" s="43" t="s">
        <v>4207</v>
      </c>
      <c r="AA26" s="3" t="s">
        <v>4208</v>
      </c>
      <c r="AB26" s="5" t="str">
        <f t="shared" si="3"/>
        <v>UNIVERSITAS BORNEO TARAKAN</v>
      </c>
    </row>
    <row r="27">
      <c r="A27" s="51" t="s">
        <v>487</v>
      </c>
      <c r="B27" s="51"/>
      <c r="C27" s="51"/>
      <c r="D27" s="51" t="s">
        <v>4209</v>
      </c>
      <c r="E27" s="52"/>
      <c r="F27" s="52"/>
      <c r="H27" s="1" t="s">
        <v>4084</v>
      </c>
      <c r="I27" s="5" t="str">
        <f t="shared" si="2"/>
        <v>LAKI-LAKI</v>
      </c>
      <c r="R27" s="3" t="s">
        <v>4210</v>
      </c>
      <c r="S27" s="5">
        <f>IFERROR(__xludf.DUMMYFUNCTION("SPLIT(R27,"","")"),26.0)</f>
        <v>26</v>
      </c>
      <c r="T27" s="5" t="str">
        <f>IFERROR(__xludf.DUMMYFUNCTION("""COMPUTED_VALUE"""),"Bosnia dan Herzegovina")</f>
        <v>Bosnia dan Herzegovina</v>
      </c>
      <c r="U27" s="5" t="str">
        <f>IFERROR(__xludf.DUMMYFUNCTION("""COMPUTED_VALUE"""),"Eropa")</f>
        <v>Eropa</v>
      </c>
      <c r="W27" s="43">
        <v>26.0</v>
      </c>
      <c r="X27" s="43" t="s">
        <v>4211</v>
      </c>
      <c r="Y27" s="43" t="s">
        <v>4212</v>
      </c>
      <c r="AA27" s="3" t="s">
        <v>4213</v>
      </c>
      <c r="AB27" s="5" t="str">
        <f t="shared" si="3"/>
        <v>UNIVERSITAS BRAWIJAYA</v>
      </c>
    </row>
    <row r="28">
      <c r="A28" s="49" t="s">
        <v>487</v>
      </c>
      <c r="B28" s="49"/>
      <c r="C28" s="49"/>
      <c r="D28" s="49" t="s">
        <v>4214</v>
      </c>
      <c r="E28" s="50"/>
      <c r="F28" s="50"/>
      <c r="H28" s="1" t="s">
        <v>4084</v>
      </c>
      <c r="I28" s="5" t="str">
        <f t="shared" si="2"/>
        <v>LAKI-LAKI</v>
      </c>
      <c r="R28" s="3" t="s">
        <v>4215</v>
      </c>
      <c r="S28" s="5">
        <f>IFERROR(__xludf.DUMMYFUNCTION("SPLIT(R28,"","")"),27.0)</f>
        <v>27</v>
      </c>
      <c r="T28" s="5" t="str">
        <f>IFERROR(__xludf.DUMMYFUNCTION("""COMPUTED_VALUE"""),"Botswana")</f>
        <v>Botswana</v>
      </c>
      <c r="U28" s="5" t="str">
        <f>IFERROR(__xludf.DUMMYFUNCTION("""COMPUTED_VALUE"""),"Afrika")</f>
        <v>Afrika</v>
      </c>
      <c r="W28" s="43">
        <v>27.0</v>
      </c>
      <c r="X28" s="43" t="s">
        <v>4216</v>
      </c>
      <c r="Y28" s="43" t="s">
        <v>4217</v>
      </c>
      <c r="AA28" s="3" t="s">
        <v>4218</v>
      </c>
      <c r="AB28" s="5" t="str">
        <f t="shared" si="3"/>
        <v>UNIVERSITAS CENDRAWASIH</v>
      </c>
    </row>
    <row r="29">
      <c r="A29" s="51" t="s">
        <v>4109</v>
      </c>
      <c r="B29" s="51"/>
      <c r="C29" s="51"/>
      <c r="D29" s="51" t="s">
        <v>4219</v>
      </c>
      <c r="E29" s="52"/>
      <c r="F29" s="52"/>
      <c r="H29" s="1" t="s">
        <v>4084</v>
      </c>
      <c r="I29" s="5" t="str">
        <f t="shared" si="2"/>
        <v>LAKI-LAKI</v>
      </c>
      <c r="R29" s="3" t="s">
        <v>4220</v>
      </c>
      <c r="S29" s="5">
        <f>IFERROR(__xludf.DUMMYFUNCTION("SPLIT(R29,"","")"),28.0)</f>
        <v>28</v>
      </c>
      <c r="T29" s="5" t="str">
        <f>IFERROR(__xludf.DUMMYFUNCTION("""COMPUTED_VALUE"""),"Brasil")</f>
        <v>Brasil</v>
      </c>
      <c r="U29" s="5" t="str">
        <f>IFERROR(__xludf.DUMMYFUNCTION("""COMPUTED_VALUE"""),"Amerika Selatan")</f>
        <v>Amerika Selatan</v>
      </c>
      <c r="W29" s="43">
        <v>28.0</v>
      </c>
      <c r="X29" s="43" t="s">
        <v>4221</v>
      </c>
      <c r="Y29" s="43" t="s">
        <v>4222</v>
      </c>
      <c r="AA29" s="3" t="s">
        <v>4223</v>
      </c>
      <c r="AB29" s="5" t="str">
        <f t="shared" si="3"/>
        <v>UNIVERSITAS DIAN NUSWANTORO</v>
      </c>
    </row>
    <row r="30">
      <c r="A30" s="49" t="s">
        <v>4224</v>
      </c>
      <c r="B30" s="49"/>
      <c r="C30" s="49"/>
      <c r="D30" s="49" t="s">
        <v>4225</v>
      </c>
      <c r="E30" s="50"/>
      <c r="F30" s="50"/>
      <c r="H30" s="1" t="s">
        <v>4084</v>
      </c>
      <c r="I30" s="5" t="str">
        <f t="shared" si="2"/>
        <v>LAKI-LAKI</v>
      </c>
      <c r="R30" s="3" t="s">
        <v>4226</v>
      </c>
      <c r="S30" s="5">
        <f>IFERROR(__xludf.DUMMYFUNCTION("SPLIT(R30,"","")"),29.0)</f>
        <v>29</v>
      </c>
      <c r="T30" s="5" t="str">
        <f>IFERROR(__xludf.DUMMYFUNCTION("""COMPUTED_VALUE"""),"Britania Raya (Inggris)")</f>
        <v>Britania Raya (Inggris)</v>
      </c>
      <c r="U30" s="5" t="str">
        <f>IFERROR(__xludf.DUMMYFUNCTION("""COMPUTED_VALUE"""),"Eropa")</f>
        <v>Eropa</v>
      </c>
      <c r="W30" s="43">
        <v>29.0</v>
      </c>
      <c r="X30" s="43" t="s">
        <v>4227</v>
      </c>
      <c r="Y30" s="43" t="s">
        <v>4228</v>
      </c>
      <c r="AA30" s="3" t="s">
        <v>4229</v>
      </c>
      <c r="AB30" s="5" t="str">
        <f t="shared" si="3"/>
        <v>UNIVERSITAS DIPONEGORO</v>
      </c>
    </row>
    <row r="31">
      <c r="A31" s="51" t="s">
        <v>487</v>
      </c>
      <c r="B31" s="51"/>
      <c r="C31" s="51"/>
      <c r="D31" s="51" t="s">
        <v>4230</v>
      </c>
      <c r="E31" s="52"/>
      <c r="F31" s="52"/>
      <c r="H31" s="1" t="s">
        <v>4094</v>
      </c>
      <c r="I31" s="5" t="str">
        <f t="shared" si="2"/>
        <v>PEREMPUAN</v>
      </c>
      <c r="R31" s="3" t="s">
        <v>4231</v>
      </c>
      <c r="S31" s="5">
        <f>IFERROR(__xludf.DUMMYFUNCTION("SPLIT(R31,"","")"),30.0)</f>
        <v>30</v>
      </c>
      <c r="T31" s="5" t="str">
        <f>IFERROR(__xludf.DUMMYFUNCTION("""COMPUTED_VALUE"""),"Brunei Darussalam")</f>
        <v>Brunei Darussalam</v>
      </c>
      <c r="U31" s="5" t="str">
        <f>IFERROR(__xludf.DUMMYFUNCTION("""COMPUTED_VALUE"""),"Asia")</f>
        <v>Asia</v>
      </c>
      <c r="W31" s="43">
        <v>30.0</v>
      </c>
      <c r="X31" s="43" t="s">
        <v>4232</v>
      </c>
      <c r="Y31" s="43" t="s">
        <v>4233</v>
      </c>
      <c r="AA31" s="3" t="s">
        <v>4234</v>
      </c>
      <c r="AB31" s="5" t="str">
        <f t="shared" si="3"/>
        <v>UNIVERSITAS HALU OLEO</v>
      </c>
    </row>
    <row r="32">
      <c r="A32" s="49" t="s">
        <v>487</v>
      </c>
      <c r="B32" s="49"/>
      <c r="C32" s="49"/>
      <c r="D32" s="49" t="s">
        <v>4235</v>
      </c>
      <c r="E32" s="50"/>
      <c r="F32" s="50"/>
      <c r="H32" s="1" t="s">
        <v>4094</v>
      </c>
      <c r="I32" s="5" t="str">
        <f t="shared" si="2"/>
        <v>PEREMPUAN</v>
      </c>
      <c r="R32" s="3" t="s">
        <v>4236</v>
      </c>
      <c r="S32" s="5">
        <f>IFERROR(__xludf.DUMMYFUNCTION("SPLIT(R32,"","")"),31.0)</f>
        <v>31</v>
      </c>
      <c r="T32" s="5" t="str">
        <f>IFERROR(__xludf.DUMMYFUNCTION("""COMPUTED_VALUE"""),"Bulgaria")</f>
        <v>Bulgaria</v>
      </c>
      <c r="U32" s="5" t="str">
        <f>IFERROR(__xludf.DUMMYFUNCTION("""COMPUTED_VALUE"""),"Eropa")</f>
        <v>Eropa</v>
      </c>
      <c r="W32" s="43">
        <v>31.0</v>
      </c>
      <c r="X32" s="43" t="s">
        <v>4237</v>
      </c>
      <c r="Y32" s="43" t="s">
        <v>4238</v>
      </c>
      <c r="AA32" s="3" t="s">
        <v>4239</v>
      </c>
      <c r="AB32" s="5" t="str">
        <f t="shared" si="3"/>
        <v>UNIVERSITAS ISLAM BANDUNG</v>
      </c>
    </row>
    <row r="33">
      <c r="A33" s="51" t="s">
        <v>487</v>
      </c>
      <c r="B33" s="51"/>
      <c r="C33" s="51"/>
      <c r="D33" s="51" t="s">
        <v>4240</v>
      </c>
      <c r="E33" s="52"/>
      <c r="F33" s="52"/>
      <c r="H33" s="1" t="s">
        <v>4094</v>
      </c>
      <c r="I33" s="5" t="str">
        <f t="shared" si="2"/>
        <v>PEREMPUAN</v>
      </c>
      <c r="R33" s="3" t="s">
        <v>4241</v>
      </c>
      <c r="S33" s="5">
        <f>IFERROR(__xludf.DUMMYFUNCTION("SPLIT(R33,"","")"),32.0)</f>
        <v>32</v>
      </c>
      <c r="T33" s="5" t="str">
        <f>IFERROR(__xludf.DUMMYFUNCTION("""COMPUTED_VALUE"""),"Burkina Faso")</f>
        <v>Burkina Faso</v>
      </c>
      <c r="U33" s="5" t="str">
        <f>IFERROR(__xludf.DUMMYFUNCTION("""COMPUTED_VALUE"""),"Afrika")</f>
        <v>Afrika</v>
      </c>
      <c r="W33" s="43">
        <v>32.0</v>
      </c>
      <c r="X33" s="43" t="s">
        <v>4242</v>
      </c>
      <c r="Y33" s="43" t="s">
        <v>4243</v>
      </c>
      <c r="AA33" s="3" t="s">
        <v>4244</v>
      </c>
      <c r="AB33" s="5" t="str">
        <f t="shared" si="3"/>
        <v>UNIVERSITAS ISLAM MALANG</v>
      </c>
    </row>
    <row r="34">
      <c r="A34" s="49" t="s">
        <v>4103</v>
      </c>
      <c r="B34" s="49"/>
      <c r="C34" s="49"/>
      <c r="D34" s="49" t="s">
        <v>4245</v>
      </c>
      <c r="E34" s="50"/>
      <c r="F34" s="50"/>
      <c r="H34" s="1" t="s">
        <v>4094</v>
      </c>
      <c r="I34" s="5" t="str">
        <f t="shared" si="2"/>
        <v>PEREMPUAN</v>
      </c>
      <c r="R34" s="3" t="s">
        <v>4246</v>
      </c>
      <c r="S34" s="5">
        <f>IFERROR(__xludf.DUMMYFUNCTION("SPLIT(R34,"","")"),33.0)</f>
        <v>33</v>
      </c>
      <c r="T34" s="5" t="str">
        <f>IFERROR(__xludf.DUMMYFUNCTION("""COMPUTED_VALUE"""),"Burundi")</f>
        <v>Burundi</v>
      </c>
      <c r="U34" s="5" t="str">
        <f>IFERROR(__xludf.DUMMYFUNCTION("""COMPUTED_VALUE"""),"Afrika")</f>
        <v>Afrika</v>
      </c>
      <c r="W34" s="43">
        <v>33.0</v>
      </c>
      <c r="X34" s="43" t="s">
        <v>4247</v>
      </c>
      <c r="Y34" s="43" t="s">
        <v>4248</v>
      </c>
      <c r="AA34" s="3" t="s">
        <v>4249</v>
      </c>
      <c r="AB34" s="5" t="str">
        <f t="shared" si="3"/>
        <v>UNIVERSITAS ISLAM NEGERI SUNAN AMPEL</v>
      </c>
    </row>
    <row r="35">
      <c r="A35" s="51" t="s">
        <v>4167</v>
      </c>
      <c r="B35" s="51"/>
      <c r="C35" s="51"/>
      <c r="D35" s="51" t="s">
        <v>4250</v>
      </c>
      <c r="E35" s="52"/>
      <c r="F35" s="52"/>
      <c r="H35" s="1" t="s">
        <v>4094</v>
      </c>
      <c r="I35" s="5" t="str">
        <f t="shared" si="2"/>
        <v>PEREMPUAN</v>
      </c>
      <c r="R35" s="3" t="s">
        <v>4251</v>
      </c>
      <c r="S35" s="5">
        <f>IFERROR(__xludf.DUMMYFUNCTION("SPLIT(R35,"","")"),34.0)</f>
        <v>34</v>
      </c>
      <c r="T35" s="5" t="str">
        <f>IFERROR(__xludf.DUMMYFUNCTION("""COMPUTED_VALUE"""),"Cabo Verde")</f>
        <v>Cabo Verde</v>
      </c>
      <c r="U35" s="5" t="str">
        <f>IFERROR(__xludf.DUMMYFUNCTION("""COMPUTED_VALUE"""),"Afrika")</f>
        <v>Afrika</v>
      </c>
      <c r="W35" s="43">
        <v>34.0</v>
      </c>
      <c r="X35" s="43" t="s">
        <v>4252</v>
      </c>
      <c r="Y35" s="43" t="s">
        <v>4253</v>
      </c>
      <c r="AA35" s="3" t="s">
        <v>4254</v>
      </c>
      <c r="AB35" s="5" t="str">
        <f t="shared" si="3"/>
        <v>UNIVERSITAS ISLAM NEGERI SUNAN GUNUNG DJATI</v>
      </c>
    </row>
    <row r="36">
      <c r="A36" s="49" t="s">
        <v>487</v>
      </c>
      <c r="B36" s="49"/>
      <c r="C36" s="49"/>
      <c r="D36" s="49" t="s">
        <v>4255</v>
      </c>
      <c r="E36" s="50"/>
      <c r="F36" s="50"/>
      <c r="H36" s="1" t="s">
        <v>4084</v>
      </c>
      <c r="I36" s="5" t="str">
        <f t="shared" si="2"/>
        <v>LAKI-LAKI</v>
      </c>
      <c r="R36" s="3" t="s">
        <v>4256</v>
      </c>
      <c r="S36" s="5">
        <f>IFERROR(__xludf.DUMMYFUNCTION("SPLIT(R36,"","")"),35.0)</f>
        <v>35</v>
      </c>
      <c r="T36" s="5" t="str">
        <f>IFERROR(__xludf.DUMMYFUNCTION("""COMPUTED_VALUE"""),"Ceko (Republik Ceko)")</f>
        <v>Ceko (Republik Ceko)</v>
      </c>
      <c r="U36" s="5" t="str">
        <f>IFERROR(__xludf.DUMMYFUNCTION("""COMPUTED_VALUE"""),"Eropa")</f>
        <v>Eropa</v>
      </c>
      <c r="W36" s="43">
        <v>35.0</v>
      </c>
      <c r="X36" s="43" t="s">
        <v>4257</v>
      </c>
      <c r="Y36" s="43" t="s">
        <v>4258</v>
      </c>
      <c r="AA36" s="5" t="s">
        <v>4259</v>
      </c>
      <c r="AB36" s="5" t="str">
        <f t="shared" si="3"/>
        <v>UNIVERSITAS ISLAM NEGERI SUNAN KALIJAGA</v>
      </c>
    </row>
    <row r="37">
      <c r="A37" s="51" t="s">
        <v>4119</v>
      </c>
      <c r="B37" s="51"/>
      <c r="C37" s="51"/>
      <c r="D37" s="51" t="s">
        <v>4119</v>
      </c>
      <c r="E37" s="52"/>
      <c r="F37" s="52"/>
      <c r="H37" s="1" t="s">
        <v>4094</v>
      </c>
      <c r="I37" s="5" t="str">
        <f t="shared" si="2"/>
        <v>PEREMPUAN</v>
      </c>
      <c r="R37" s="3" t="s">
        <v>4260</v>
      </c>
      <c r="S37" s="5">
        <f>IFERROR(__xludf.DUMMYFUNCTION("SPLIT(R37,"","")"),36.0)</f>
        <v>36</v>
      </c>
      <c r="T37" s="5" t="str">
        <f>IFERROR(__xludf.DUMMYFUNCTION("""COMPUTED_VALUE"""),"Chad")</f>
        <v>Chad</v>
      </c>
      <c r="U37" s="5" t="str">
        <f>IFERROR(__xludf.DUMMYFUNCTION("""COMPUTED_VALUE"""),"Afrika")</f>
        <v>Afrika</v>
      </c>
      <c r="W37" s="43">
        <v>36.0</v>
      </c>
      <c r="X37" s="43" t="s">
        <v>4261</v>
      </c>
      <c r="Y37" s="43" t="s">
        <v>4262</v>
      </c>
      <c r="AA37" s="3" t="s">
        <v>4263</v>
      </c>
      <c r="AB37" s="5" t="str">
        <f t="shared" si="3"/>
        <v>UNIVERSITAS ISLAM NEGERI SYARIF HIDAYATULLAH</v>
      </c>
    </row>
    <row r="38">
      <c r="A38" s="49" t="s">
        <v>487</v>
      </c>
      <c r="B38" s="49"/>
      <c r="C38" s="49"/>
      <c r="D38" s="49" t="s">
        <v>4264</v>
      </c>
      <c r="E38" s="50"/>
      <c r="F38" s="50"/>
      <c r="H38" s="1" t="s">
        <v>4084</v>
      </c>
      <c r="I38" s="5" t="str">
        <f t="shared" si="2"/>
        <v>LAKI-LAKI</v>
      </c>
      <c r="R38" s="3" t="s">
        <v>4265</v>
      </c>
      <c r="S38" s="5">
        <f>IFERROR(__xludf.DUMMYFUNCTION("SPLIT(R38,"","")"),37.0)</f>
        <v>37</v>
      </c>
      <c r="T38" s="5" t="str">
        <f>IFERROR(__xludf.DUMMYFUNCTION("""COMPUTED_VALUE"""),"Chili")</f>
        <v>Chili</v>
      </c>
      <c r="U38" s="5" t="str">
        <f>IFERROR(__xludf.DUMMYFUNCTION("""COMPUTED_VALUE"""),"Amerika Selatan")</f>
        <v>Amerika Selatan</v>
      </c>
      <c r="W38" s="43">
        <v>37.0</v>
      </c>
      <c r="X38" s="43" t="s">
        <v>4266</v>
      </c>
      <c r="Y38" s="43" t="s">
        <v>4267</v>
      </c>
      <c r="AA38" s="3" t="s">
        <v>4268</v>
      </c>
      <c r="AB38" s="5" t="str">
        <f t="shared" si="3"/>
        <v>UNIVERSITAS ISLAM NEGERI WALISONGO</v>
      </c>
    </row>
    <row r="39">
      <c r="A39" s="51" t="s">
        <v>487</v>
      </c>
      <c r="B39" s="51"/>
      <c r="C39" s="51"/>
      <c r="D39" s="51" t="s">
        <v>4269</v>
      </c>
      <c r="E39" s="52"/>
      <c r="F39" s="52"/>
      <c r="H39" s="1" t="s">
        <v>4094</v>
      </c>
      <c r="I39" s="5" t="str">
        <f t="shared" si="2"/>
        <v>PEREMPUAN</v>
      </c>
      <c r="R39" s="3" t="s">
        <v>4270</v>
      </c>
      <c r="S39" s="5">
        <f>IFERROR(__xludf.DUMMYFUNCTION("SPLIT(R39,"","")"),38.0)</f>
        <v>38</v>
      </c>
      <c r="T39" s="5" t="str">
        <f>IFERROR(__xludf.DUMMYFUNCTION("""COMPUTED_VALUE"""),"China (Tiongkok)")</f>
        <v>China (Tiongkok)</v>
      </c>
      <c r="U39" s="5" t="str">
        <f>IFERROR(__xludf.DUMMYFUNCTION("""COMPUTED_VALUE"""),"Asia")</f>
        <v>Asia</v>
      </c>
      <c r="W39" s="43">
        <v>38.0</v>
      </c>
      <c r="X39" s="43" t="s">
        <v>4271</v>
      </c>
      <c r="Y39" s="43" t="s">
        <v>4272</v>
      </c>
      <c r="AA39" s="3" t="s">
        <v>4273</v>
      </c>
      <c r="AB39" s="5" t="str">
        <f t="shared" si="3"/>
        <v>UNIVERSITAS JAMBI</v>
      </c>
    </row>
    <row r="40">
      <c r="A40" s="49" t="s">
        <v>4103</v>
      </c>
      <c r="B40" s="49"/>
      <c r="C40" s="49"/>
      <c r="D40" s="49" t="s">
        <v>4274</v>
      </c>
      <c r="E40" s="50"/>
      <c r="F40" s="50"/>
      <c r="H40" s="1" t="s">
        <v>4094</v>
      </c>
      <c r="I40" s="5" t="str">
        <f t="shared" si="2"/>
        <v>PEREMPUAN</v>
      </c>
      <c r="R40" s="3" t="s">
        <v>4275</v>
      </c>
      <c r="S40" s="5">
        <f>IFERROR(__xludf.DUMMYFUNCTION("SPLIT(R40,"","")"),39.0)</f>
        <v>39</v>
      </c>
      <c r="T40" s="5" t="str">
        <f>IFERROR(__xludf.DUMMYFUNCTION("""COMPUTED_VALUE"""),"Denmark")</f>
        <v>Denmark</v>
      </c>
      <c r="U40" s="5" t="str">
        <f>IFERROR(__xludf.DUMMYFUNCTION("""COMPUTED_VALUE"""),"Eropa")</f>
        <v>Eropa</v>
      </c>
      <c r="AA40" s="3" t="s">
        <v>4276</v>
      </c>
      <c r="AB40" s="5" t="str">
        <f t="shared" si="3"/>
        <v>UNIVERSITAS JEMBER</v>
      </c>
    </row>
    <row r="41">
      <c r="A41" s="51" t="s">
        <v>487</v>
      </c>
      <c r="B41" s="51"/>
      <c r="C41" s="51"/>
      <c r="D41" s="51" t="s">
        <v>4277</v>
      </c>
      <c r="E41" s="52"/>
      <c r="F41" s="52"/>
      <c r="H41" s="1" t="s">
        <v>4084</v>
      </c>
      <c r="I41" s="5" t="str">
        <f t="shared" si="2"/>
        <v>LAKI-LAKI</v>
      </c>
      <c r="R41" s="3" t="s">
        <v>4278</v>
      </c>
      <c r="S41" s="5">
        <f>IFERROR(__xludf.DUMMYFUNCTION("SPLIT(R41,"","")"),40.0)</f>
        <v>40</v>
      </c>
      <c r="T41" s="5" t="str">
        <f>IFERROR(__xludf.DUMMYFUNCTION("""COMPUTED_VALUE"""),"Djibouti")</f>
        <v>Djibouti</v>
      </c>
      <c r="U41" s="5" t="str">
        <f>IFERROR(__xludf.DUMMYFUNCTION("""COMPUTED_VALUE"""),"Afrika")</f>
        <v>Afrika</v>
      </c>
      <c r="AA41" s="3" t="s">
        <v>4279</v>
      </c>
      <c r="AB41" s="5" t="str">
        <f t="shared" si="3"/>
        <v>UNIVERSITAS JENDERAL ACHMAD YANI</v>
      </c>
    </row>
    <row r="42">
      <c r="A42" s="49" t="s">
        <v>4103</v>
      </c>
      <c r="B42" s="49"/>
      <c r="C42" s="49"/>
      <c r="D42" s="49" t="s">
        <v>4280</v>
      </c>
      <c r="E42" s="50"/>
      <c r="F42" s="50"/>
      <c r="H42" s="1" t="s">
        <v>4084</v>
      </c>
      <c r="I42" s="5" t="str">
        <f t="shared" si="2"/>
        <v>LAKI-LAKI</v>
      </c>
      <c r="R42" s="3" t="s">
        <v>4281</v>
      </c>
      <c r="S42" s="5">
        <f>IFERROR(__xludf.DUMMYFUNCTION("SPLIT(R42,"","")"),41.0)</f>
        <v>41</v>
      </c>
      <c r="T42" s="5" t="str">
        <f>IFERROR(__xludf.DUMMYFUNCTION("""COMPUTED_VALUE"""),"Dominika")</f>
        <v>Dominika</v>
      </c>
      <c r="U42" s="5" t="str">
        <f>IFERROR(__xludf.DUMMYFUNCTION("""COMPUTED_VALUE"""),"Amerika Utara")</f>
        <v>Amerika Utara</v>
      </c>
      <c r="AA42" s="3" t="s">
        <v>4282</v>
      </c>
      <c r="AB42" s="5" t="str">
        <f t="shared" si="3"/>
        <v>UNIVERSITAS JENDERAL SOEDIRMAN</v>
      </c>
    </row>
    <row r="43">
      <c r="A43" s="51" t="s">
        <v>487</v>
      </c>
      <c r="B43" s="51"/>
      <c r="C43" s="51"/>
      <c r="D43" s="51" t="s">
        <v>4283</v>
      </c>
      <c r="E43" s="52"/>
      <c r="F43" s="52"/>
      <c r="H43" s="1" t="s">
        <v>4094</v>
      </c>
      <c r="I43" s="5" t="str">
        <f t="shared" si="2"/>
        <v>PEREMPUAN</v>
      </c>
      <c r="R43" s="3" t="s">
        <v>4284</v>
      </c>
      <c r="S43" s="5">
        <f>IFERROR(__xludf.DUMMYFUNCTION("SPLIT(R43,"","")"),42.0)</f>
        <v>42</v>
      </c>
      <c r="T43" s="5" t="str">
        <f>IFERROR(__xludf.DUMMYFUNCTION("""COMPUTED_VALUE"""),"Ekuador")</f>
        <v>Ekuador</v>
      </c>
      <c r="U43" s="5" t="str">
        <f>IFERROR(__xludf.DUMMYFUNCTION("""COMPUTED_VALUE"""),"Amerika Selatan")</f>
        <v>Amerika Selatan</v>
      </c>
      <c r="AA43" s="3" t="s">
        <v>4285</v>
      </c>
      <c r="AB43" s="5" t="str">
        <f t="shared" si="3"/>
        <v>UNIVERSITAS KATOLIK INDONESIA ATMA JAYA</v>
      </c>
    </row>
    <row r="44">
      <c r="A44" s="49" t="s">
        <v>4103</v>
      </c>
      <c r="B44" s="49"/>
      <c r="C44" s="49"/>
      <c r="D44" s="49" t="s">
        <v>4286</v>
      </c>
      <c r="E44" s="50"/>
      <c r="F44" s="50"/>
      <c r="H44" s="1" t="s">
        <v>4084</v>
      </c>
      <c r="I44" s="5" t="str">
        <f t="shared" si="2"/>
        <v>LAKI-LAKI</v>
      </c>
      <c r="R44" s="3" t="s">
        <v>4287</v>
      </c>
      <c r="S44" s="5">
        <f>IFERROR(__xludf.DUMMYFUNCTION("SPLIT(R44,"","")"),43.0)</f>
        <v>43</v>
      </c>
      <c r="T44" s="5" t="str">
        <f>IFERROR(__xludf.DUMMYFUNCTION("""COMPUTED_VALUE"""),"El Salvador")</f>
        <v>El Salvador</v>
      </c>
      <c r="U44" s="5" t="str">
        <f>IFERROR(__xludf.DUMMYFUNCTION("""COMPUTED_VALUE"""),"Amerika Utara")</f>
        <v>Amerika Utara</v>
      </c>
      <c r="AA44" s="3" t="s">
        <v>4288</v>
      </c>
      <c r="AB44" s="5" t="str">
        <f t="shared" si="3"/>
        <v>UNIVERSITAS KATOLIK PARAHYANGAN</v>
      </c>
    </row>
    <row r="45">
      <c r="A45" s="51" t="s">
        <v>4289</v>
      </c>
      <c r="B45" s="51"/>
      <c r="C45" s="51"/>
      <c r="D45" s="51" t="s">
        <v>4290</v>
      </c>
      <c r="E45" s="52"/>
      <c r="F45" s="52"/>
      <c r="H45" s="1" t="s">
        <v>4094</v>
      </c>
      <c r="I45" s="5" t="str">
        <f t="shared" si="2"/>
        <v>PEREMPUAN</v>
      </c>
      <c r="R45" s="3" t="s">
        <v>4291</v>
      </c>
      <c r="S45" s="5">
        <f>IFERROR(__xludf.DUMMYFUNCTION("SPLIT(R45,"","")"),44.0)</f>
        <v>44</v>
      </c>
      <c r="T45" s="5" t="str">
        <f>IFERROR(__xludf.DUMMYFUNCTION("""COMPUTED_VALUE"""),"Eritrea")</f>
        <v>Eritrea</v>
      </c>
      <c r="U45" s="5" t="str">
        <f>IFERROR(__xludf.DUMMYFUNCTION("""COMPUTED_VALUE"""),"Afrika")</f>
        <v>Afrika</v>
      </c>
      <c r="AA45" s="3" t="s">
        <v>4292</v>
      </c>
      <c r="AB45" s="5" t="str">
        <f t="shared" si="3"/>
        <v>UNIVERSITAS KATOLIK SOEGIJAPRANATA</v>
      </c>
    </row>
    <row r="46">
      <c r="A46" s="49" t="s">
        <v>4137</v>
      </c>
      <c r="B46" s="49"/>
      <c r="C46" s="49"/>
      <c r="D46" s="49" t="s">
        <v>4119</v>
      </c>
      <c r="E46" s="50"/>
      <c r="F46" s="50"/>
      <c r="H46" s="1" t="s">
        <v>4084</v>
      </c>
      <c r="I46" s="5" t="str">
        <f t="shared" si="2"/>
        <v>LAKI-LAKI</v>
      </c>
      <c r="R46" s="3" t="s">
        <v>4293</v>
      </c>
      <c r="S46" s="5">
        <f>IFERROR(__xludf.DUMMYFUNCTION("SPLIT(R46,"","")"),45.0)</f>
        <v>45</v>
      </c>
      <c r="T46" s="5" t="str">
        <f>IFERROR(__xludf.DUMMYFUNCTION("""COMPUTED_VALUE"""),"Estonia")</f>
        <v>Estonia</v>
      </c>
      <c r="U46" s="5" t="str">
        <f>IFERROR(__xludf.DUMMYFUNCTION("""COMPUTED_VALUE"""),"Eropa")</f>
        <v>Eropa</v>
      </c>
      <c r="AA46" s="3" t="s">
        <v>4294</v>
      </c>
      <c r="AB46" s="5" t="str">
        <f t="shared" si="3"/>
        <v>UNIVERSITAS KATOLIK WIDYA MANDALA SURABAYA</v>
      </c>
    </row>
    <row r="47">
      <c r="A47" s="51" t="s">
        <v>4109</v>
      </c>
      <c r="B47" s="51"/>
      <c r="C47" s="51"/>
      <c r="D47" s="51" t="s">
        <v>4295</v>
      </c>
      <c r="E47" s="52"/>
      <c r="F47" s="52"/>
      <c r="H47" s="1" t="s">
        <v>4094</v>
      </c>
      <c r="I47" s="5" t="str">
        <f t="shared" si="2"/>
        <v>PEREMPUAN</v>
      </c>
      <c r="R47" s="3" t="s">
        <v>4296</v>
      </c>
      <c r="S47" s="5">
        <f>IFERROR(__xludf.DUMMYFUNCTION("SPLIT(R47,"","")"),46.0)</f>
        <v>46</v>
      </c>
      <c r="T47" s="5" t="str">
        <f>IFERROR(__xludf.DUMMYFUNCTION("""COMPUTED_VALUE"""),"Eswatini")</f>
        <v>Eswatini</v>
      </c>
      <c r="U47" s="5" t="str">
        <f>IFERROR(__xludf.DUMMYFUNCTION("""COMPUTED_VALUE"""),"Afrika")</f>
        <v>Afrika</v>
      </c>
      <c r="AA47" s="3" t="s">
        <v>4297</v>
      </c>
      <c r="AB47" s="5" t="str">
        <f t="shared" si="3"/>
        <v>UNIVERSITAS KHAIRUN</v>
      </c>
    </row>
    <row r="48">
      <c r="A48" s="49" t="s">
        <v>4137</v>
      </c>
      <c r="B48" s="49"/>
      <c r="C48" s="49"/>
      <c r="D48" s="49" t="s">
        <v>4098</v>
      </c>
      <c r="E48" s="50"/>
      <c r="F48" s="50"/>
      <c r="H48" s="1" t="s">
        <v>4084</v>
      </c>
      <c r="I48" s="5" t="str">
        <f t="shared" si="2"/>
        <v>LAKI-LAKI</v>
      </c>
      <c r="R48" s="3" t="s">
        <v>4298</v>
      </c>
      <c r="S48" s="5">
        <f>IFERROR(__xludf.DUMMYFUNCTION("SPLIT(R48,"","")"),47.0)</f>
        <v>47</v>
      </c>
      <c r="T48" s="5" t="str">
        <f>IFERROR(__xludf.DUMMYFUNCTION("""COMPUTED_VALUE"""),"Ethiopia")</f>
        <v>Ethiopia</v>
      </c>
      <c r="U48" s="5" t="str">
        <f>IFERROR(__xludf.DUMMYFUNCTION("""COMPUTED_VALUE"""),"Afrika")</f>
        <v>Afrika</v>
      </c>
      <c r="AA48" s="5" t="s">
        <v>4299</v>
      </c>
      <c r="AB48" s="5" t="str">
        <f t="shared" si="3"/>
        <v>UNIVERSITAS KRISTEN DUTA WACANA</v>
      </c>
    </row>
    <row r="49">
      <c r="A49" s="51" t="s">
        <v>487</v>
      </c>
      <c r="B49" s="51"/>
      <c r="C49" s="51"/>
      <c r="D49" s="51" t="s">
        <v>4300</v>
      </c>
      <c r="E49" s="52"/>
      <c r="F49" s="52"/>
      <c r="H49" s="1" t="s">
        <v>4084</v>
      </c>
      <c r="I49" s="5" t="str">
        <f t="shared" si="2"/>
        <v>LAKI-LAKI</v>
      </c>
      <c r="R49" s="3" t="s">
        <v>4301</v>
      </c>
      <c r="S49" s="5">
        <f>IFERROR(__xludf.DUMMYFUNCTION("SPLIT(R49,"","")"),48.0)</f>
        <v>48</v>
      </c>
      <c r="T49" s="5" t="str">
        <f>IFERROR(__xludf.DUMMYFUNCTION("""COMPUTED_VALUE"""),"Fiji")</f>
        <v>Fiji</v>
      </c>
      <c r="U49" s="5" t="str">
        <f>IFERROR(__xludf.DUMMYFUNCTION("""COMPUTED_VALUE"""),"Oceania")</f>
        <v>Oceania</v>
      </c>
      <c r="AA49" s="3" t="s">
        <v>4302</v>
      </c>
      <c r="AB49" s="5" t="str">
        <f t="shared" si="3"/>
        <v>UNIVERSITAS KRISTEN MARANATHA</v>
      </c>
    </row>
    <row r="50">
      <c r="A50" s="49" t="s">
        <v>4303</v>
      </c>
      <c r="B50" s="49"/>
      <c r="C50" s="49"/>
      <c r="D50" s="49" t="s">
        <v>4304</v>
      </c>
      <c r="E50" s="50"/>
      <c r="F50" s="50"/>
      <c r="H50" s="1" t="s">
        <v>4084</v>
      </c>
      <c r="I50" s="5" t="str">
        <f t="shared" si="2"/>
        <v>LAKI-LAKI</v>
      </c>
      <c r="R50" s="3" t="s">
        <v>4305</v>
      </c>
      <c r="S50" s="5">
        <f>IFERROR(__xludf.DUMMYFUNCTION("SPLIT(R50,"","")"),49.0)</f>
        <v>49</v>
      </c>
      <c r="T50" s="5" t="str">
        <f>IFERROR(__xludf.DUMMYFUNCTION("""COMPUTED_VALUE"""),"Filipina")</f>
        <v>Filipina</v>
      </c>
      <c r="U50" s="5" t="str">
        <f>IFERROR(__xludf.DUMMYFUNCTION("""COMPUTED_VALUE"""),"Asia")</f>
        <v>Asia</v>
      </c>
      <c r="AA50" s="3" t="s">
        <v>4306</v>
      </c>
      <c r="AB50" s="5" t="str">
        <f t="shared" si="3"/>
        <v>UNIVERSITAS KRISTEN PAPUA</v>
      </c>
    </row>
    <row r="51">
      <c r="A51" s="51" t="s">
        <v>4137</v>
      </c>
      <c r="B51" s="51"/>
      <c r="C51" s="51"/>
      <c r="D51" s="51" t="s">
        <v>4119</v>
      </c>
      <c r="E51" s="52"/>
      <c r="F51" s="52"/>
      <c r="H51" s="1" t="s">
        <v>4094</v>
      </c>
      <c r="I51" s="5" t="str">
        <f t="shared" si="2"/>
        <v>PEREMPUAN</v>
      </c>
      <c r="R51" s="3" t="s">
        <v>4307</v>
      </c>
      <c r="S51" s="5">
        <f>IFERROR(__xludf.DUMMYFUNCTION("SPLIT(R51,"","")"),50.0)</f>
        <v>50</v>
      </c>
      <c r="T51" s="5" t="str">
        <f>IFERROR(__xludf.DUMMYFUNCTION("""COMPUTED_VALUE"""),"Finlandia")</f>
        <v>Finlandia</v>
      </c>
      <c r="U51" s="5" t="str">
        <f>IFERROR(__xludf.DUMMYFUNCTION("""COMPUTED_VALUE"""),"Eropa")</f>
        <v>Eropa</v>
      </c>
      <c r="AA51" s="3" t="s">
        <v>4308</v>
      </c>
      <c r="AB51" s="5" t="str">
        <f t="shared" si="3"/>
        <v>UNIVERSITAS KRISTEN SATYA WACANA</v>
      </c>
    </row>
    <row r="52">
      <c r="A52" s="49" t="s">
        <v>4082</v>
      </c>
      <c r="B52" s="49"/>
      <c r="C52" s="49"/>
      <c r="D52" s="49" t="s">
        <v>4309</v>
      </c>
      <c r="E52" s="50"/>
      <c r="F52" s="50"/>
      <c r="H52" s="1" t="s">
        <v>4084</v>
      </c>
      <c r="I52" s="5" t="str">
        <f t="shared" si="2"/>
        <v>LAKI-LAKI</v>
      </c>
      <c r="R52" s="3" t="s">
        <v>4310</v>
      </c>
      <c r="S52" s="5">
        <f>IFERROR(__xludf.DUMMYFUNCTION("SPLIT(R52,"","")"),51.0)</f>
        <v>51</v>
      </c>
      <c r="T52" s="5" t="str">
        <f>IFERROR(__xludf.DUMMYFUNCTION("""COMPUTED_VALUE"""),"Gabon")</f>
        <v>Gabon</v>
      </c>
      <c r="U52" s="5" t="str">
        <f>IFERROR(__xludf.DUMMYFUNCTION("""COMPUTED_VALUE"""),"Afrika")</f>
        <v>Afrika</v>
      </c>
      <c r="AA52" s="3" t="s">
        <v>4311</v>
      </c>
      <c r="AB52" s="5" t="str">
        <f t="shared" si="3"/>
        <v>UNIVERSITAS KRISTEN WIRA WACANA SUMBA</v>
      </c>
    </row>
    <row r="53">
      <c r="A53" s="51" t="s">
        <v>4137</v>
      </c>
      <c r="B53" s="51"/>
      <c r="C53" s="51"/>
      <c r="D53" s="51" t="s">
        <v>4119</v>
      </c>
      <c r="E53" s="52"/>
      <c r="F53" s="52"/>
      <c r="H53" s="1" t="s">
        <v>4094</v>
      </c>
      <c r="I53" s="5" t="str">
        <f t="shared" si="2"/>
        <v>PEREMPUAN</v>
      </c>
      <c r="R53" s="3" t="s">
        <v>4312</v>
      </c>
      <c r="S53" s="5">
        <f>IFERROR(__xludf.DUMMYFUNCTION("SPLIT(R53,"","")"),52.0)</f>
        <v>52</v>
      </c>
      <c r="T53" s="5" t="str">
        <f>IFERROR(__xludf.DUMMYFUNCTION("""COMPUTED_VALUE"""),"Gambia")</f>
        <v>Gambia</v>
      </c>
      <c r="U53" s="5" t="str">
        <f>IFERROR(__xludf.DUMMYFUNCTION("""COMPUTED_VALUE"""),"Afrika")</f>
        <v>Afrika</v>
      </c>
      <c r="AA53" s="3" t="s">
        <v>4313</v>
      </c>
      <c r="AB53" s="5" t="str">
        <f t="shared" si="3"/>
        <v>UNIVERSITAS LAMBUNG MANGKURAT</v>
      </c>
    </row>
    <row r="54">
      <c r="A54" s="49" t="s">
        <v>4109</v>
      </c>
      <c r="B54" s="54"/>
      <c r="C54" s="54"/>
      <c r="D54" s="54" t="s">
        <v>4314</v>
      </c>
      <c r="E54" s="55"/>
      <c r="F54" s="55"/>
      <c r="H54" s="1" t="s">
        <v>4094</v>
      </c>
      <c r="I54" s="5" t="str">
        <f t="shared" si="2"/>
        <v>PEREMPUAN</v>
      </c>
      <c r="R54" s="3" t="s">
        <v>4315</v>
      </c>
      <c r="S54" s="5">
        <f>IFERROR(__xludf.DUMMYFUNCTION("SPLIT(R54,"","")"),53.0)</f>
        <v>53</v>
      </c>
      <c r="T54" s="5" t="str">
        <f>IFERROR(__xludf.DUMMYFUNCTION("""COMPUTED_VALUE"""),"Georgia")</f>
        <v>Georgia</v>
      </c>
      <c r="U54" s="5" t="str">
        <f>IFERROR(__xludf.DUMMYFUNCTION("""COMPUTED_VALUE"""),"Asia")</f>
        <v>Asia</v>
      </c>
      <c r="AA54" s="3" t="s">
        <v>4316</v>
      </c>
      <c r="AB54" s="5" t="str">
        <f t="shared" si="3"/>
        <v>UNIVERSITAS LAMPUNG</v>
      </c>
    </row>
    <row r="55">
      <c r="A55" s="51" t="s">
        <v>487</v>
      </c>
      <c r="B55" s="51"/>
      <c r="C55" s="51"/>
      <c r="D55" s="51" t="s">
        <v>4317</v>
      </c>
      <c r="E55" s="52"/>
      <c r="F55" s="52"/>
      <c r="H55" s="1" t="s">
        <v>4094</v>
      </c>
      <c r="I55" s="5" t="str">
        <f t="shared" si="2"/>
        <v>PEREMPUAN</v>
      </c>
      <c r="R55" s="3" t="s">
        <v>4318</v>
      </c>
      <c r="S55" s="5">
        <f>IFERROR(__xludf.DUMMYFUNCTION("SPLIT(R55,"","")"),54.0)</f>
        <v>54</v>
      </c>
      <c r="T55" s="5" t="str">
        <f>IFERROR(__xludf.DUMMYFUNCTION("""COMPUTED_VALUE"""),"Ghana")</f>
        <v>Ghana</v>
      </c>
      <c r="U55" s="5" t="str">
        <f>IFERROR(__xludf.DUMMYFUNCTION("""COMPUTED_VALUE"""),"Afrika")</f>
        <v>Afrika</v>
      </c>
      <c r="AA55" s="3" t="s">
        <v>4319</v>
      </c>
      <c r="AB55" s="5" t="str">
        <f t="shared" si="3"/>
        <v>UNIVERSITAS MA CHUNG</v>
      </c>
    </row>
    <row r="56">
      <c r="A56" s="49" t="s">
        <v>487</v>
      </c>
      <c r="B56" s="49"/>
      <c r="C56" s="49"/>
      <c r="D56" s="49" t="s">
        <v>4320</v>
      </c>
      <c r="E56" s="50"/>
      <c r="F56" s="50"/>
      <c r="H56" s="1" t="s">
        <v>4084</v>
      </c>
      <c r="I56" s="5" t="str">
        <f t="shared" si="2"/>
        <v>LAKI-LAKI</v>
      </c>
      <c r="R56" s="3" t="s">
        <v>4321</v>
      </c>
      <c r="S56" s="5">
        <f>IFERROR(__xludf.DUMMYFUNCTION("SPLIT(R56,"","")"),55.0)</f>
        <v>55</v>
      </c>
      <c r="T56" s="5" t="str">
        <f>IFERROR(__xludf.DUMMYFUNCTION("""COMPUTED_VALUE"""),"Grenada")</f>
        <v>Grenada</v>
      </c>
      <c r="U56" s="5" t="str">
        <f>IFERROR(__xludf.DUMMYFUNCTION("""COMPUTED_VALUE"""),"Amerika Utara")</f>
        <v>Amerika Utara</v>
      </c>
      <c r="AA56" s="3" t="s">
        <v>4322</v>
      </c>
      <c r="AB56" s="5" t="str">
        <f t="shared" si="3"/>
        <v>UNIVERSITAS MATARAM</v>
      </c>
    </row>
    <row r="57">
      <c r="A57" s="51" t="s">
        <v>4119</v>
      </c>
      <c r="B57" s="51"/>
      <c r="C57" s="51"/>
      <c r="D57" s="51" t="s">
        <v>4119</v>
      </c>
      <c r="E57" s="52"/>
      <c r="F57" s="52"/>
      <c r="H57" s="1" t="s">
        <v>4084</v>
      </c>
      <c r="I57" s="5" t="str">
        <f t="shared" si="2"/>
        <v>LAKI-LAKI</v>
      </c>
      <c r="R57" s="3" t="s">
        <v>4323</v>
      </c>
      <c r="S57" s="5">
        <f>IFERROR(__xludf.DUMMYFUNCTION("SPLIT(R57,"","")"),56.0)</f>
        <v>56</v>
      </c>
      <c r="T57" s="5" t="str">
        <f>IFERROR(__xludf.DUMMYFUNCTION("""COMPUTED_VALUE"""),"Guatemala")</f>
        <v>Guatemala</v>
      </c>
      <c r="U57" s="5" t="str">
        <f>IFERROR(__xludf.DUMMYFUNCTION("""COMPUTED_VALUE"""),"Amerika Utara")</f>
        <v>Amerika Utara</v>
      </c>
      <c r="AA57" s="3" t="s">
        <v>4324</v>
      </c>
      <c r="AB57" s="5" t="str">
        <f t="shared" si="3"/>
        <v>UNIVERSITAS MERDEKA</v>
      </c>
    </row>
    <row r="58">
      <c r="A58" s="49" t="s">
        <v>487</v>
      </c>
      <c r="B58" s="49"/>
      <c r="C58" s="49"/>
      <c r="D58" s="49" t="s">
        <v>4325</v>
      </c>
      <c r="E58" s="50"/>
      <c r="F58" s="50"/>
      <c r="H58" s="1" t="s">
        <v>4094</v>
      </c>
      <c r="I58" s="5" t="str">
        <f t="shared" si="2"/>
        <v>PEREMPUAN</v>
      </c>
      <c r="R58" s="3" t="s">
        <v>4326</v>
      </c>
      <c r="S58" s="5">
        <f>IFERROR(__xludf.DUMMYFUNCTION("SPLIT(R58,"","")"),57.0)</f>
        <v>57</v>
      </c>
      <c r="T58" s="5" t="str">
        <f>IFERROR(__xludf.DUMMYFUNCTION("""COMPUTED_VALUE"""),"Guinea")</f>
        <v>Guinea</v>
      </c>
      <c r="U58" s="5" t="str">
        <f>IFERROR(__xludf.DUMMYFUNCTION("""COMPUTED_VALUE"""),"Afrika")</f>
        <v>Afrika</v>
      </c>
      <c r="AA58" s="3" t="s">
        <v>4327</v>
      </c>
      <c r="AB58" s="5" t="str">
        <f t="shared" si="3"/>
        <v>UNIVERSITAS MUHAMMADIYAH JEMBER</v>
      </c>
    </row>
    <row r="59">
      <c r="A59" s="51" t="s">
        <v>487</v>
      </c>
      <c r="B59" s="51"/>
      <c r="C59" s="51"/>
      <c r="D59" s="51" t="s">
        <v>4328</v>
      </c>
      <c r="E59" s="52"/>
      <c r="F59" s="52"/>
      <c r="H59" s="1" t="s">
        <v>4084</v>
      </c>
      <c r="I59" s="5" t="str">
        <f t="shared" si="2"/>
        <v>LAKI-LAKI</v>
      </c>
      <c r="R59" s="3" t="s">
        <v>4329</v>
      </c>
      <c r="S59" s="5">
        <f>IFERROR(__xludf.DUMMYFUNCTION("SPLIT(R59,"","")"),58.0)</f>
        <v>58</v>
      </c>
      <c r="T59" s="5" t="str">
        <f>IFERROR(__xludf.DUMMYFUNCTION("""COMPUTED_VALUE"""),"Guinea-Bissau")</f>
        <v>Guinea-Bissau</v>
      </c>
      <c r="U59" s="5" t="str">
        <f>IFERROR(__xludf.DUMMYFUNCTION("""COMPUTED_VALUE"""),"Afrika")</f>
        <v>Afrika</v>
      </c>
      <c r="AA59" s="3" t="s">
        <v>4330</v>
      </c>
      <c r="AB59" s="5" t="str">
        <f t="shared" si="3"/>
        <v>UNIVERSITAS MUHAMMADIYAH KUDUS</v>
      </c>
    </row>
    <row r="60">
      <c r="A60" s="49" t="s">
        <v>487</v>
      </c>
      <c r="B60" s="49"/>
      <c r="C60" s="49"/>
      <c r="D60" s="49" t="s">
        <v>4331</v>
      </c>
      <c r="E60" s="50"/>
      <c r="F60" s="50"/>
      <c r="H60" s="1" t="s">
        <v>4094</v>
      </c>
      <c r="I60" s="5" t="str">
        <f t="shared" si="2"/>
        <v>PEREMPUAN</v>
      </c>
      <c r="R60" s="3" t="s">
        <v>4332</v>
      </c>
      <c r="S60" s="5">
        <f>IFERROR(__xludf.DUMMYFUNCTION("SPLIT(R60,"","")"),59.0)</f>
        <v>59</v>
      </c>
      <c r="T60" s="5" t="str">
        <f>IFERROR(__xludf.DUMMYFUNCTION("""COMPUTED_VALUE"""),"Guinea Khatulistiwa")</f>
        <v>Guinea Khatulistiwa</v>
      </c>
      <c r="U60" s="5" t="str">
        <f>IFERROR(__xludf.DUMMYFUNCTION("""COMPUTED_VALUE"""),"Afrika")</f>
        <v>Afrika</v>
      </c>
      <c r="AA60" s="3" t="s">
        <v>4333</v>
      </c>
      <c r="AB60" s="5" t="str">
        <f t="shared" si="3"/>
        <v>UNIVERSITAS MUHAMMADIYAH MALANG</v>
      </c>
    </row>
    <row r="61">
      <c r="A61" s="51" t="s">
        <v>487</v>
      </c>
      <c r="B61" s="51"/>
      <c r="C61" s="51"/>
      <c r="D61" s="51" t="s">
        <v>4334</v>
      </c>
      <c r="E61" s="52"/>
      <c r="F61" s="52"/>
      <c r="H61" s="1" t="s">
        <v>4084</v>
      </c>
      <c r="I61" s="5" t="str">
        <f t="shared" si="2"/>
        <v>LAKI-LAKI</v>
      </c>
      <c r="R61" s="3" t="s">
        <v>4335</v>
      </c>
      <c r="S61" s="5">
        <f>IFERROR(__xludf.DUMMYFUNCTION("SPLIT(R61,"","")"),60.0)</f>
        <v>60</v>
      </c>
      <c r="T61" s="5" t="str">
        <f>IFERROR(__xludf.DUMMYFUNCTION("""COMPUTED_VALUE"""),"Guyana")</f>
        <v>Guyana</v>
      </c>
      <c r="U61" s="5" t="str">
        <f>IFERROR(__xludf.DUMMYFUNCTION("""COMPUTED_VALUE"""),"Amerika Selatan")</f>
        <v>Amerika Selatan</v>
      </c>
      <c r="AA61" s="3" t="s">
        <v>4194</v>
      </c>
      <c r="AB61" s="5" t="str">
        <f t="shared" si="3"/>
        <v>UNIVERSITAS MURIA KUDUS</v>
      </c>
    </row>
    <row r="62">
      <c r="A62" s="49" t="s">
        <v>487</v>
      </c>
      <c r="B62" s="49"/>
      <c r="C62" s="49"/>
      <c r="D62" s="49" t="s">
        <v>4336</v>
      </c>
      <c r="E62" s="50"/>
      <c r="F62" s="50"/>
      <c r="H62" s="1" t="s">
        <v>4084</v>
      </c>
      <c r="I62" s="5" t="str">
        <f t="shared" si="2"/>
        <v>LAKI-LAKI</v>
      </c>
      <c r="R62" s="3" t="s">
        <v>4337</v>
      </c>
      <c r="S62" s="5">
        <f>IFERROR(__xludf.DUMMYFUNCTION("SPLIT(R62,"","")"),61.0)</f>
        <v>61</v>
      </c>
      <c r="T62" s="5" t="str">
        <f>IFERROR(__xludf.DUMMYFUNCTION("""COMPUTED_VALUE"""),"Haiti")</f>
        <v>Haiti</v>
      </c>
      <c r="U62" s="5" t="str">
        <f>IFERROR(__xludf.DUMMYFUNCTION("""COMPUTED_VALUE"""),"Amerika Utara")</f>
        <v>Amerika Utara</v>
      </c>
      <c r="AA62" s="3" t="s">
        <v>4338</v>
      </c>
      <c r="AB62" s="5" t="str">
        <f t="shared" si="3"/>
        <v>UNIVERSITAS MUSAMUS MERAUKE</v>
      </c>
    </row>
    <row r="63">
      <c r="A63" s="51" t="s">
        <v>487</v>
      </c>
      <c r="B63" s="51"/>
      <c r="C63" s="51"/>
      <c r="D63" s="51" t="s">
        <v>4339</v>
      </c>
      <c r="E63" s="52"/>
      <c r="F63" s="52"/>
      <c r="H63" s="1" t="s">
        <v>4094</v>
      </c>
      <c r="I63" s="5" t="str">
        <f t="shared" si="2"/>
        <v>PEREMPUAN</v>
      </c>
      <c r="R63" s="3" t="s">
        <v>4340</v>
      </c>
      <c r="S63" s="5">
        <f>IFERROR(__xludf.DUMMYFUNCTION("SPLIT(R63,"","")"),62.0)</f>
        <v>62</v>
      </c>
      <c r="T63" s="5" t="str">
        <f>IFERROR(__xludf.DUMMYFUNCTION("""COMPUTED_VALUE"""),"Honduras")</f>
        <v>Honduras</v>
      </c>
      <c r="U63" s="5" t="str">
        <f>IFERROR(__xludf.DUMMYFUNCTION("""COMPUTED_VALUE"""),"Amerika Utara")</f>
        <v>Amerika Utara</v>
      </c>
      <c r="AA63" s="3" t="s">
        <v>4341</v>
      </c>
      <c r="AB63" s="5" t="str">
        <f t="shared" si="3"/>
        <v>UNIVERSITAS MUSLIM INDONESIA</v>
      </c>
    </row>
    <row r="64">
      <c r="A64" s="49" t="s">
        <v>4119</v>
      </c>
      <c r="B64" s="49"/>
      <c r="C64" s="49"/>
      <c r="D64" s="49" t="s">
        <v>4119</v>
      </c>
      <c r="E64" s="50"/>
      <c r="F64" s="50"/>
      <c r="H64" s="1" t="s">
        <v>4084</v>
      </c>
      <c r="I64" s="5" t="str">
        <f t="shared" si="2"/>
        <v>LAKI-LAKI</v>
      </c>
      <c r="R64" s="3" t="s">
        <v>4342</v>
      </c>
      <c r="S64" s="5">
        <f>IFERROR(__xludf.DUMMYFUNCTION("SPLIT(R64,"","")"),63.0)</f>
        <v>63</v>
      </c>
      <c r="T64" s="5" t="str">
        <f>IFERROR(__xludf.DUMMYFUNCTION("""COMPUTED_VALUE"""),"Hungaria")</f>
        <v>Hungaria</v>
      </c>
      <c r="U64" s="5" t="str">
        <f>IFERROR(__xludf.DUMMYFUNCTION("""COMPUTED_VALUE"""),"Eropa")</f>
        <v>Eropa</v>
      </c>
      <c r="AA64" s="5" t="s">
        <v>4343</v>
      </c>
      <c r="AB64" s="5" t="str">
        <f t="shared" si="3"/>
        <v>UNIVERSITAS NAHDATUL ULAMA</v>
      </c>
    </row>
    <row r="65">
      <c r="A65" s="51" t="s">
        <v>4137</v>
      </c>
      <c r="B65" s="51"/>
      <c r="C65" s="51"/>
      <c r="D65" s="51" t="s">
        <v>4119</v>
      </c>
      <c r="E65" s="52"/>
      <c r="F65" s="52"/>
      <c r="H65" s="1" t="s">
        <v>4084</v>
      </c>
      <c r="I65" s="5" t="str">
        <f t="shared" si="2"/>
        <v>LAKI-LAKI</v>
      </c>
      <c r="R65" s="3" t="s">
        <v>4344</v>
      </c>
      <c r="S65" s="5">
        <f>IFERROR(__xludf.DUMMYFUNCTION("SPLIT(R65,"","")"),64.0)</f>
        <v>64</v>
      </c>
      <c r="T65" s="5" t="str">
        <f>IFERROR(__xludf.DUMMYFUNCTION("""COMPUTED_VALUE"""),"India")</f>
        <v>India</v>
      </c>
      <c r="U65" s="5" t="str">
        <f>IFERROR(__xludf.DUMMYFUNCTION("""COMPUTED_VALUE"""),"Asia")</f>
        <v>Asia</v>
      </c>
      <c r="AA65" s="3" t="s">
        <v>4345</v>
      </c>
      <c r="AB65" s="5" t="str">
        <f t="shared" si="3"/>
        <v>UNIVERSITAS NASIONAL</v>
      </c>
    </row>
    <row r="66">
      <c r="A66" s="49" t="s">
        <v>4346</v>
      </c>
      <c r="B66" s="49"/>
      <c r="C66" s="49"/>
      <c r="D66" s="49" t="s">
        <v>4347</v>
      </c>
      <c r="E66" s="50"/>
      <c r="F66" s="50"/>
      <c r="H66" s="1" t="s">
        <v>4094</v>
      </c>
      <c r="I66" s="5" t="str">
        <f t="shared" si="2"/>
        <v>PEREMPUAN</v>
      </c>
      <c r="R66" s="3" t="s">
        <v>4348</v>
      </c>
      <c r="S66" s="5">
        <f>IFERROR(__xludf.DUMMYFUNCTION("SPLIT(R66,"","")"),65.0)</f>
        <v>65</v>
      </c>
      <c r="T66" s="5" t="str">
        <f>IFERROR(__xludf.DUMMYFUNCTION("""COMPUTED_VALUE"""),"Indonesia")</f>
        <v>Indonesia</v>
      </c>
      <c r="U66" s="5" t="str">
        <f>IFERROR(__xludf.DUMMYFUNCTION("""COMPUTED_VALUE"""),"Asia")</f>
        <v>Asia</v>
      </c>
      <c r="AA66" s="3" t="s">
        <v>4349</v>
      </c>
      <c r="AB66" s="5" t="str">
        <f t="shared" si="3"/>
        <v>UNIVERSITAS NASIONAL KARANGTURI SEMARANG</v>
      </c>
    </row>
    <row r="67">
      <c r="A67" s="51" t="s">
        <v>4119</v>
      </c>
      <c r="B67" s="51"/>
      <c r="C67" s="51"/>
      <c r="D67" s="51" t="s">
        <v>4119</v>
      </c>
      <c r="E67" s="52"/>
      <c r="F67" s="52"/>
      <c r="H67" s="1" t="s">
        <v>4094</v>
      </c>
      <c r="I67" s="5" t="str">
        <f t="shared" si="2"/>
        <v>PEREMPUAN</v>
      </c>
      <c r="R67" s="3" t="s">
        <v>4350</v>
      </c>
      <c r="S67" s="5">
        <f>IFERROR(__xludf.DUMMYFUNCTION("SPLIT(R67,"","")"),66.0)</f>
        <v>66</v>
      </c>
      <c r="T67" s="5" t="str">
        <f>IFERROR(__xludf.DUMMYFUNCTION("""COMPUTED_VALUE"""),"Irak")</f>
        <v>Irak</v>
      </c>
      <c r="U67" s="5" t="str">
        <f>IFERROR(__xludf.DUMMYFUNCTION("""COMPUTED_VALUE"""),"Asia")</f>
        <v>Asia</v>
      </c>
      <c r="AA67" s="3" t="s">
        <v>4351</v>
      </c>
      <c r="AB67" s="5" t="str">
        <f t="shared" si="3"/>
        <v>UNIVERSITAS NEGERI GORONTALO</v>
      </c>
    </row>
    <row r="68">
      <c r="A68" s="49" t="s">
        <v>487</v>
      </c>
      <c r="B68" s="49"/>
      <c r="C68" s="49"/>
      <c r="D68" s="49" t="s">
        <v>4352</v>
      </c>
      <c r="E68" s="50"/>
      <c r="F68" s="50"/>
      <c r="H68" s="1" t="s">
        <v>4094</v>
      </c>
      <c r="I68" s="5" t="str">
        <f t="shared" si="2"/>
        <v>PEREMPUAN</v>
      </c>
      <c r="R68" s="3" t="s">
        <v>4353</v>
      </c>
      <c r="S68" s="5">
        <f>IFERROR(__xludf.DUMMYFUNCTION("SPLIT(R68,"","")"),67.0)</f>
        <v>67</v>
      </c>
      <c r="T68" s="5" t="str">
        <f>IFERROR(__xludf.DUMMYFUNCTION("""COMPUTED_VALUE"""),"Iran")</f>
        <v>Iran</v>
      </c>
      <c r="U68" s="5" t="str">
        <f>IFERROR(__xludf.DUMMYFUNCTION("""COMPUTED_VALUE"""),"Asia")</f>
        <v>Asia</v>
      </c>
      <c r="AA68" s="3" t="s">
        <v>4354</v>
      </c>
      <c r="AB68" s="5" t="str">
        <f t="shared" si="3"/>
        <v>UNIVERSITAS NEGERI JAKARTA</v>
      </c>
    </row>
    <row r="69">
      <c r="A69" s="51" t="s">
        <v>487</v>
      </c>
      <c r="B69" s="51"/>
      <c r="C69" s="51"/>
      <c r="D69" s="51" t="s">
        <v>4355</v>
      </c>
      <c r="E69" s="52"/>
      <c r="F69" s="52"/>
      <c r="H69" s="1" t="s">
        <v>4094</v>
      </c>
      <c r="I69" s="5" t="str">
        <f t="shared" si="2"/>
        <v>PEREMPUAN</v>
      </c>
      <c r="R69" s="3" t="s">
        <v>4356</v>
      </c>
      <c r="S69" s="5">
        <f>IFERROR(__xludf.DUMMYFUNCTION("SPLIT(R69,"","")"),68.0)</f>
        <v>68</v>
      </c>
      <c r="T69" s="5" t="str">
        <f>IFERROR(__xludf.DUMMYFUNCTION("""COMPUTED_VALUE"""),"Irlandia")</f>
        <v>Irlandia</v>
      </c>
      <c r="U69" s="5" t="str">
        <f>IFERROR(__xludf.DUMMYFUNCTION("""COMPUTED_VALUE"""),"Eropa")</f>
        <v>Eropa</v>
      </c>
      <c r="AA69" s="3" t="s">
        <v>4357</v>
      </c>
      <c r="AB69" s="5" t="str">
        <f t="shared" si="3"/>
        <v>UNIVERSITAS NEGERI MAKASSAR</v>
      </c>
    </row>
    <row r="70">
      <c r="A70" s="49" t="s">
        <v>487</v>
      </c>
      <c r="B70" s="49"/>
      <c r="C70" s="49"/>
      <c r="D70" s="49" t="s">
        <v>4358</v>
      </c>
      <c r="E70" s="50"/>
      <c r="F70" s="50"/>
      <c r="H70" s="1" t="s">
        <v>4084</v>
      </c>
      <c r="I70" s="5" t="str">
        <f t="shared" si="2"/>
        <v>LAKI-LAKI</v>
      </c>
      <c r="R70" s="3" t="s">
        <v>4359</v>
      </c>
      <c r="S70" s="5">
        <f>IFERROR(__xludf.DUMMYFUNCTION("SPLIT(R70,"","")"),69.0)</f>
        <v>69</v>
      </c>
      <c r="T70" s="5" t="str">
        <f>IFERROR(__xludf.DUMMYFUNCTION("""COMPUTED_VALUE"""),"Islandia")</f>
        <v>Islandia</v>
      </c>
      <c r="U70" s="5" t="str">
        <f>IFERROR(__xludf.DUMMYFUNCTION("""COMPUTED_VALUE"""),"Eropa")</f>
        <v>Eropa</v>
      </c>
      <c r="AA70" s="3" t="s">
        <v>4360</v>
      </c>
      <c r="AB70" s="5" t="str">
        <f t="shared" si="3"/>
        <v>UNIVERSITAS NEGERI MALANG</v>
      </c>
    </row>
    <row r="71">
      <c r="A71" s="51" t="s">
        <v>487</v>
      </c>
      <c r="B71" s="51"/>
      <c r="C71" s="51"/>
      <c r="D71" s="51" t="s">
        <v>4361</v>
      </c>
      <c r="E71" s="52"/>
      <c r="F71" s="52"/>
      <c r="H71" s="1" t="s">
        <v>4084</v>
      </c>
      <c r="I71" s="5" t="str">
        <f t="shared" si="2"/>
        <v>LAKI-LAKI</v>
      </c>
      <c r="R71" s="3" t="s">
        <v>4362</v>
      </c>
      <c r="S71" s="5">
        <f>IFERROR(__xludf.DUMMYFUNCTION("SPLIT(R71,"","")"),70.0)</f>
        <v>70</v>
      </c>
      <c r="T71" s="5" t="str">
        <f>IFERROR(__xludf.DUMMYFUNCTION("""COMPUTED_VALUE"""),"Israel")</f>
        <v>Israel</v>
      </c>
      <c r="U71" s="5" t="str">
        <f>IFERROR(__xludf.DUMMYFUNCTION("""COMPUTED_VALUE"""),"Asia")</f>
        <v>Asia</v>
      </c>
      <c r="AA71" s="3" t="s">
        <v>4363</v>
      </c>
      <c r="AB71" s="5" t="str">
        <f t="shared" si="3"/>
        <v>UNIVERSITAS NEGERI PAPUA</v>
      </c>
    </row>
    <row r="72">
      <c r="A72" s="49" t="s">
        <v>487</v>
      </c>
      <c r="B72" s="49"/>
      <c r="C72" s="49"/>
      <c r="D72" s="49" t="s">
        <v>4364</v>
      </c>
      <c r="E72" s="50"/>
      <c r="F72" s="50"/>
      <c r="H72" s="1" t="s">
        <v>4084</v>
      </c>
      <c r="I72" s="5" t="str">
        <f t="shared" si="2"/>
        <v>LAKI-LAKI</v>
      </c>
      <c r="R72" s="3" t="s">
        <v>4365</v>
      </c>
      <c r="S72" s="5">
        <f>IFERROR(__xludf.DUMMYFUNCTION("SPLIT(R72,"","")"),71.0)</f>
        <v>71</v>
      </c>
      <c r="T72" s="5" t="str">
        <f>IFERROR(__xludf.DUMMYFUNCTION("""COMPUTED_VALUE"""),"Italia")</f>
        <v>Italia</v>
      </c>
      <c r="U72" s="5" t="str">
        <f>IFERROR(__xludf.DUMMYFUNCTION("""COMPUTED_VALUE"""),"Eropa")</f>
        <v>Eropa</v>
      </c>
      <c r="AA72" s="3" t="s">
        <v>4366</v>
      </c>
      <c r="AB72" s="5" t="str">
        <f t="shared" si="3"/>
        <v>UNIVERSITAS NEGERI SEBELAS MARET</v>
      </c>
    </row>
    <row r="73">
      <c r="A73" s="51" t="s">
        <v>487</v>
      </c>
      <c r="B73" s="51"/>
      <c r="C73" s="51"/>
      <c r="D73" s="51" t="s">
        <v>4367</v>
      </c>
      <c r="E73" s="52"/>
      <c r="F73" s="52"/>
      <c r="H73" s="1" t="s">
        <v>4084</v>
      </c>
      <c r="I73" s="5" t="str">
        <f t="shared" si="2"/>
        <v>LAKI-LAKI</v>
      </c>
      <c r="R73" s="3" t="s">
        <v>4368</v>
      </c>
      <c r="S73" s="5">
        <f>IFERROR(__xludf.DUMMYFUNCTION("SPLIT(R73,"","")"),72.0)</f>
        <v>72</v>
      </c>
      <c r="T73" s="5" t="str">
        <f>IFERROR(__xludf.DUMMYFUNCTION("""COMPUTED_VALUE"""),"Jamaika")</f>
        <v>Jamaika</v>
      </c>
      <c r="U73" s="5" t="str">
        <f>IFERROR(__xludf.DUMMYFUNCTION("""COMPUTED_VALUE"""),"Amerika Utara")</f>
        <v>Amerika Utara</v>
      </c>
      <c r="AA73" s="3" t="s">
        <v>4369</v>
      </c>
      <c r="AB73" s="5" t="str">
        <f t="shared" si="3"/>
        <v>UNIVERSITAS NEGERI SEMARANG</v>
      </c>
    </row>
    <row r="74">
      <c r="A74" s="49" t="s">
        <v>487</v>
      </c>
      <c r="B74" s="49"/>
      <c r="C74" s="49"/>
      <c r="D74" s="49" t="s">
        <v>4370</v>
      </c>
      <c r="E74" s="50"/>
      <c r="F74" s="50"/>
      <c r="H74" s="1" t="s">
        <v>4084</v>
      </c>
      <c r="I74" s="5" t="str">
        <f t="shared" si="2"/>
        <v>LAKI-LAKI</v>
      </c>
      <c r="R74" s="3" t="s">
        <v>4371</v>
      </c>
      <c r="S74" s="5">
        <f>IFERROR(__xludf.DUMMYFUNCTION("SPLIT(R74,"","")"),73.0)</f>
        <v>73</v>
      </c>
      <c r="T74" s="5" t="str">
        <f>IFERROR(__xludf.DUMMYFUNCTION("""COMPUTED_VALUE"""),"Jepang")</f>
        <v>Jepang</v>
      </c>
      <c r="U74" s="5" t="str">
        <f>IFERROR(__xludf.DUMMYFUNCTION("""COMPUTED_VALUE"""),"Asia")</f>
        <v>Asia</v>
      </c>
      <c r="AA74" s="5" t="s">
        <v>4372</v>
      </c>
      <c r="AB74" s="5" t="str">
        <f t="shared" si="3"/>
        <v>UNIVERSITAS NEGERI YOGYAKARTA</v>
      </c>
    </row>
    <row r="75">
      <c r="A75" s="51" t="s">
        <v>487</v>
      </c>
      <c r="B75" s="51"/>
      <c r="C75" s="51"/>
      <c r="D75" s="51" t="s">
        <v>4373</v>
      </c>
      <c r="E75" s="52"/>
      <c r="F75" s="52"/>
      <c r="R75" s="3" t="s">
        <v>4374</v>
      </c>
      <c r="S75" s="5">
        <f>IFERROR(__xludf.DUMMYFUNCTION("SPLIT(R75,"","")"),74.0)</f>
        <v>74</v>
      </c>
      <c r="T75" s="5" t="str">
        <f>IFERROR(__xludf.DUMMYFUNCTION("""COMPUTED_VALUE"""),"Jerman")</f>
        <v>Jerman</v>
      </c>
      <c r="U75" s="5" t="str">
        <f>IFERROR(__xludf.DUMMYFUNCTION("""COMPUTED_VALUE"""),"Eropa")</f>
        <v>Eropa</v>
      </c>
      <c r="AA75" s="3" t="s">
        <v>4375</v>
      </c>
      <c r="AB75" s="5" t="str">
        <f t="shared" si="3"/>
        <v>UNIVERSITAS NUSA CENDANA</v>
      </c>
    </row>
    <row r="76">
      <c r="A76" s="49" t="s">
        <v>487</v>
      </c>
      <c r="B76" s="49"/>
      <c r="C76" s="49"/>
      <c r="D76" s="49" t="s">
        <v>4376</v>
      </c>
      <c r="E76" s="50"/>
      <c r="F76" s="50"/>
      <c r="R76" s="3" t="s">
        <v>4377</v>
      </c>
      <c r="S76" s="5">
        <f>IFERROR(__xludf.DUMMYFUNCTION("SPLIT(R76,"","")"),75.0)</f>
        <v>75</v>
      </c>
      <c r="T76" s="5" t="str">
        <f>IFERROR(__xludf.DUMMYFUNCTION("""COMPUTED_VALUE"""),"Kamboja")</f>
        <v>Kamboja</v>
      </c>
      <c r="U76" s="5" t="str">
        <f>IFERROR(__xludf.DUMMYFUNCTION("""COMPUTED_VALUE"""),"Asia")</f>
        <v>Asia</v>
      </c>
      <c r="AA76" s="3" t="s">
        <v>4378</v>
      </c>
      <c r="AB76" s="5" t="str">
        <f t="shared" si="3"/>
        <v>UNIVERSITAS PADJADJARAN</v>
      </c>
    </row>
    <row r="77">
      <c r="A77" s="51" t="s">
        <v>4379</v>
      </c>
      <c r="B77" s="51"/>
      <c r="C77" s="51"/>
      <c r="D77" s="51" t="s">
        <v>4380</v>
      </c>
      <c r="E77" s="52"/>
      <c r="F77" s="52"/>
      <c r="R77" s="3" t="s">
        <v>4381</v>
      </c>
      <c r="S77" s="5">
        <f>IFERROR(__xludf.DUMMYFUNCTION("SPLIT(R77,"","")"),76.0)</f>
        <v>76</v>
      </c>
      <c r="T77" s="5" t="str">
        <f>IFERROR(__xludf.DUMMYFUNCTION("""COMPUTED_VALUE"""),"Kamerun")</f>
        <v>Kamerun</v>
      </c>
      <c r="U77" s="5" t="str">
        <f>IFERROR(__xludf.DUMMYFUNCTION("""COMPUTED_VALUE"""),"Afrika")</f>
        <v>Afrika</v>
      </c>
      <c r="AA77" s="3" t="s">
        <v>4382</v>
      </c>
      <c r="AB77" s="5" t="str">
        <f t="shared" si="3"/>
        <v>UNIVERSITAS PALANGKARAYA</v>
      </c>
    </row>
    <row r="78">
      <c r="A78" s="49" t="s">
        <v>4103</v>
      </c>
      <c r="B78" s="49"/>
      <c r="C78" s="49"/>
      <c r="D78" s="49" t="s">
        <v>4383</v>
      </c>
      <c r="E78" s="50"/>
      <c r="F78" s="50"/>
      <c r="R78" s="3" t="s">
        <v>4384</v>
      </c>
      <c r="S78" s="5">
        <f>IFERROR(__xludf.DUMMYFUNCTION("SPLIT(R78,"","")"),77.0)</f>
        <v>77</v>
      </c>
      <c r="T78" s="5" t="str">
        <f>IFERROR(__xludf.DUMMYFUNCTION("""COMPUTED_VALUE"""),"Kanada")</f>
        <v>Kanada</v>
      </c>
      <c r="U78" s="5" t="str">
        <f>IFERROR(__xludf.DUMMYFUNCTION("""COMPUTED_VALUE"""),"Amerika Utara")</f>
        <v>Amerika Utara</v>
      </c>
      <c r="AA78" s="3" t="s">
        <v>4385</v>
      </c>
      <c r="AB78" s="5" t="str">
        <f t="shared" si="3"/>
        <v>UNIVERSITAS PARAMADINA</v>
      </c>
    </row>
    <row r="79">
      <c r="A79" s="51" t="s">
        <v>487</v>
      </c>
      <c r="B79" s="51"/>
      <c r="C79" s="51"/>
      <c r="D79" s="51" t="s">
        <v>4386</v>
      </c>
      <c r="E79" s="52"/>
      <c r="F79" s="52"/>
      <c r="R79" s="3" t="s">
        <v>4387</v>
      </c>
      <c r="S79" s="5">
        <f>IFERROR(__xludf.DUMMYFUNCTION("SPLIT(R79,"","")"),78.0)</f>
        <v>78</v>
      </c>
      <c r="T79" s="5" t="str">
        <f>IFERROR(__xludf.DUMMYFUNCTION("""COMPUTED_VALUE"""),"Kazakhstan")</f>
        <v>Kazakhstan</v>
      </c>
      <c r="U79" s="5" t="str">
        <f>IFERROR(__xludf.DUMMYFUNCTION("""COMPUTED_VALUE"""),"Asia")</f>
        <v>Asia</v>
      </c>
      <c r="AA79" s="3" t="s">
        <v>4388</v>
      </c>
      <c r="AB79" s="5" t="str">
        <f t="shared" si="3"/>
        <v>UNIVERSITAS PASUNDAN</v>
      </c>
    </row>
    <row r="80">
      <c r="A80" s="49" t="s">
        <v>487</v>
      </c>
      <c r="B80" s="49"/>
      <c r="C80" s="49"/>
      <c r="D80" s="49" t="s">
        <v>4389</v>
      </c>
      <c r="E80" s="50"/>
      <c r="F80" s="50"/>
      <c r="R80" s="3" t="s">
        <v>4390</v>
      </c>
      <c r="S80" s="5">
        <f>IFERROR(__xludf.DUMMYFUNCTION("SPLIT(R80,"","")"),79.0)</f>
        <v>79</v>
      </c>
      <c r="T80" s="5" t="str">
        <f>IFERROR(__xludf.DUMMYFUNCTION("""COMPUTED_VALUE"""),"Kenya")</f>
        <v>Kenya</v>
      </c>
      <c r="U80" s="5" t="str">
        <f>IFERROR(__xludf.DUMMYFUNCTION("""COMPUTED_VALUE"""),"Afrika")</f>
        <v>Afrika</v>
      </c>
      <c r="AA80" s="3" t="s">
        <v>4391</v>
      </c>
      <c r="AB80" s="5" t="str">
        <f t="shared" si="3"/>
        <v>UNIVERSITAS PATTIMURA</v>
      </c>
    </row>
    <row r="81">
      <c r="A81" s="51" t="s">
        <v>487</v>
      </c>
      <c r="B81" s="51"/>
      <c r="C81" s="51"/>
      <c r="D81" s="51" t="s">
        <v>4392</v>
      </c>
      <c r="E81" s="52"/>
      <c r="F81" s="52"/>
      <c r="R81" s="3" t="s">
        <v>4393</v>
      </c>
      <c r="S81" s="5">
        <f>IFERROR(__xludf.DUMMYFUNCTION("SPLIT(R81,"","")"),80.0)</f>
        <v>80</v>
      </c>
      <c r="T81" s="5" t="str">
        <f>IFERROR(__xludf.DUMMYFUNCTION("""COMPUTED_VALUE"""),"Kirgizstan")</f>
        <v>Kirgizstan</v>
      </c>
      <c r="U81" s="5" t="str">
        <f>IFERROR(__xludf.DUMMYFUNCTION("""COMPUTED_VALUE"""),"Asia")</f>
        <v>Asia</v>
      </c>
      <c r="AA81" s="3" t="s">
        <v>4394</v>
      </c>
      <c r="AB81" s="5" t="str">
        <f t="shared" si="3"/>
        <v>UNIVERSITAS PEMBANGUNAN NASIONAL VETERAN JAWA TIMUR</v>
      </c>
    </row>
    <row r="82">
      <c r="A82" s="49" t="s">
        <v>487</v>
      </c>
      <c r="B82" s="49"/>
      <c r="C82" s="49"/>
      <c r="D82" s="49" t="s">
        <v>4395</v>
      </c>
      <c r="E82" s="50"/>
      <c r="F82" s="50"/>
      <c r="R82" s="3" t="s">
        <v>4396</v>
      </c>
      <c r="S82" s="5">
        <f>IFERROR(__xludf.DUMMYFUNCTION("SPLIT(R82,"","")"),81.0)</f>
        <v>81</v>
      </c>
      <c r="T82" s="5" t="str">
        <f>IFERROR(__xludf.DUMMYFUNCTION("""COMPUTED_VALUE"""),"Kiribati")</f>
        <v>Kiribati</v>
      </c>
      <c r="U82" s="5" t="str">
        <f>IFERROR(__xludf.DUMMYFUNCTION("""COMPUTED_VALUE"""),"Oceania")</f>
        <v>Oceania</v>
      </c>
      <c r="AA82" s="5" t="s">
        <v>4397</v>
      </c>
      <c r="AB82" s="5" t="str">
        <f t="shared" si="3"/>
        <v>UNIVERSITAS PEMBANGUNAN NASIONAL VETERAN YOGYAKARTA</v>
      </c>
    </row>
    <row r="83">
      <c r="A83" s="51" t="s">
        <v>487</v>
      </c>
      <c r="B83" s="51"/>
      <c r="C83" s="51"/>
      <c r="D83" s="51" t="s">
        <v>4398</v>
      </c>
      <c r="E83" s="52"/>
      <c r="F83" s="52"/>
      <c r="R83" s="3" t="s">
        <v>4399</v>
      </c>
      <c r="S83" s="5">
        <f>IFERROR(__xludf.DUMMYFUNCTION("SPLIT(R83,"","")"),82.0)</f>
        <v>82</v>
      </c>
      <c r="T83" s="5" t="str">
        <f>IFERROR(__xludf.DUMMYFUNCTION("""COMPUTED_VALUE"""),"Kolombia")</f>
        <v>Kolombia</v>
      </c>
      <c r="U83" s="5" t="str">
        <f>IFERROR(__xludf.DUMMYFUNCTION("""COMPUTED_VALUE"""),"Amerika Selatan")</f>
        <v>Amerika Selatan</v>
      </c>
      <c r="AA83" s="3" t="s">
        <v>4400</v>
      </c>
      <c r="AB83" s="5" t="str">
        <f t="shared" si="3"/>
        <v>UNIVERSITAS PENDIDIKAN INDONESIA</v>
      </c>
    </row>
    <row r="84">
      <c r="A84" s="49" t="s">
        <v>487</v>
      </c>
      <c r="B84" s="49"/>
      <c r="C84" s="49"/>
      <c r="D84" s="49" t="s">
        <v>4401</v>
      </c>
      <c r="E84" s="50"/>
      <c r="F84" s="50"/>
      <c r="R84" s="3" t="s">
        <v>4402</v>
      </c>
      <c r="S84" s="5">
        <f>IFERROR(__xludf.DUMMYFUNCTION("SPLIT(R84,"","")"),83.0)</f>
        <v>83</v>
      </c>
      <c r="T84" s="5" t="str">
        <f>IFERROR(__xludf.DUMMYFUNCTION("""COMPUTED_VALUE"""),"Komoro")</f>
        <v>Komoro</v>
      </c>
      <c r="U84" s="5" t="str">
        <f>IFERROR(__xludf.DUMMYFUNCTION("""COMPUTED_VALUE"""),"Afrika")</f>
        <v>Afrika</v>
      </c>
      <c r="AA84" s="3" t="s">
        <v>4403</v>
      </c>
      <c r="AB84" s="5" t="str">
        <f t="shared" si="3"/>
        <v>UNIVERSITAS PROF. DR. MOESTOPO (BERAGAMA)</v>
      </c>
    </row>
    <row r="85">
      <c r="A85" s="51" t="s">
        <v>4119</v>
      </c>
      <c r="B85" s="51"/>
      <c r="C85" s="51"/>
      <c r="D85" s="51" t="s">
        <v>4119</v>
      </c>
      <c r="E85" s="52"/>
      <c r="F85" s="52"/>
      <c r="R85" s="3" t="s">
        <v>4404</v>
      </c>
      <c r="S85" s="5">
        <f>IFERROR(__xludf.DUMMYFUNCTION("SPLIT(R85,"","")"),84.0)</f>
        <v>84</v>
      </c>
      <c r="T85" s="5" t="str">
        <f>IFERROR(__xludf.DUMMYFUNCTION("""COMPUTED_VALUE"""),"Kongo")</f>
        <v>Kongo</v>
      </c>
      <c r="U85" s="5" t="str">
        <f>IFERROR(__xludf.DUMMYFUNCTION("""COMPUTED_VALUE"""),"Afrika")</f>
        <v>Afrika</v>
      </c>
      <c r="AA85" s="3" t="s">
        <v>4405</v>
      </c>
      <c r="AB85" s="5" t="str">
        <f t="shared" si="3"/>
        <v>UNIVERSITAS RIAU</v>
      </c>
    </row>
    <row r="86">
      <c r="A86" s="49" t="s">
        <v>487</v>
      </c>
      <c r="B86" s="49"/>
      <c r="C86" s="49"/>
      <c r="D86" s="49" t="s">
        <v>4406</v>
      </c>
      <c r="E86" s="50"/>
      <c r="F86" s="50"/>
      <c r="R86" s="3" t="s">
        <v>4407</v>
      </c>
      <c r="S86" s="5">
        <f>IFERROR(__xludf.DUMMYFUNCTION("SPLIT(R86,"","")"),85.0)</f>
        <v>85</v>
      </c>
      <c r="T86" s="5" t="str">
        <f>IFERROR(__xludf.DUMMYFUNCTION("""COMPUTED_VALUE"""),"Kongo (Republik Demokratik)")</f>
        <v>Kongo (Republik Demokratik)</v>
      </c>
      <c r="U86" s="5" t="str">
        <f>IFERROR(__xludf.DUMMYFUNCTION("""COMPUTED_VALUE"""),"Afrika")</f>
        <v>Afrika</v>
      </c>
      <c r="AA86" s="3" t="s">
        <v>4408</v>
      </c>
      <c r="AB86" s="5" t="str">
        <f t="shared" si="3"/>
        <v>UNIVERSITAS SAM RATULANGI</v>
      </c>
    </row>
    <row r="87">
      <c r="A87" s="51" t="s">
        <v>4409</v>
      </c>
      <c r="B87" s="51"/>
      <c r="C87" s="51"/>
      <c r="D87" s="51" t="s">
        <v>4410</v>
      </c>
      <c r="E87" s="52"/>
      <c r="F87" s="52"/>
      <c r="R87" s="3" t="s">
        <v>4411</v>
      </c>
      <c r="S87" s="5">
        <f>IFERROR(__xludf.DUMMYFUNCTION("SPLIT(R87,"","")"),86.0)</f>
        <v>86</v>
      </c>
      <c r="T87" s="5" t="str">
        <f>IFERROR(__xludf.DUMMYFUNCTION("""COMPUTED_VALUE"""),"Korea Selatan")</f>
        <v>Korea Selatan</v>
      </c>
      <c r="U87" s="5" t="str">
        <f>IFERROR(__xludf.DUMMYFUNCTION("""COMPUTED_VALUE"""),"Asia")</f>
        <v>Asia</v>
      </c>
      <c r="AA87" s="5" t="s">
        <v>4412</v>
      </c>
      <c r="AB87" s="5" t="str">
        <f t="shared" si="3"/>
        <v>UNIVERSITAS SANATA DHARMA</v>
      </c>
    </row>
    <row r="88">
      <c r="A88" s="49" t="s">
        <v>4119</v>
      </c>
      <c r="B88" s="49"/>
      <c r="C88" s="49"/>
      <c r="D88" s="49" t="s">
        <v>4119</v>
      </c>
      <c r="E88" s="50"/>
      <c r="F88" s="50"/>
      <c r="R88" s="3" t="s">
        <v>4413</v>
      </c>
      <c r="S88" s="5">
        <f>IFERROR(__xludf.DUMMYFUNCTION("SPLIT(R88,"","")"),87.0)</f>
        <v>87</v>
      </c>
      <c r="T88" s="5" t="str">
        <f>IFERROR(__xludf.DUMMYFUNCTION("""COMPUTED_VALUE"""),"Korea Utara")</f>
        <v>Korea Utara</v>
      </c>
      <c r="U88" s="5" t="str">
        <f>IFERROR(__xludf.DUMMYFUNCTION("""COMPUTED_VALUE"""),"Asia")</f>
        <v>Asia</v>
      </c>
      <c r="AA88" s="3" t="s">
        <v>4414</v>
      </c>
      <c r="AB88" s="5" t="str">
        <f t="shared" si="3"/>
        <v>UNIVERSITAS SEMARANG</v>
      </c>
    </row>
    <row r="89">
      <c r="A89" s="51" t="s">
        <v>4103</v>
      </c>
      <c r="B89" s="51"/>
      <c r="C89" s="51"/>
      <c r="D89" s="51" t="s">
        <v>4415</v>
      </c>
      <c r="E89" s="52"/>
      <c r="F89" s="52"/>
      <c r="R89" s="3" t="s">
        <v>4416</v>
      </c>
      <c r="S89" s="5">
        <f>IFERROR(__xludf.DUMMYFUNCTION("SPLIT(R89,"","")"),88.0)</f>
        <v>88</v>
      </c>
      <c r="T89" s="5" t="str">
        <f>IFERROR(__xludf.DUMMYFUNCTION("""COMPUTED_VALUE"""),"Kosta Rika")</f>
        <v>Kosta Rika</v>
      </c>
      <c r="U89" s="5" t="str">
        <f>IFERROR(__xludf.DUMMYFUNCTION("""COMPUTED_VALUE"""),"Amerika Utara")</f>
        <v>Amerika Utara</v>
      </c>
      <c r="AA89" s="3" t="s">
        <v>4417</v>
      </c>
      <c r="AB89" s="5" t="str">
        <f t="shared" si="3"/>
        <v>UNIVERSITAS SILIWANGI</v>
      </c>
    </row>
    <row r="90">
      <c r="A90" s="49" t="s">
        <v>487</v>
      </c>
      <c r="B90" s="49"/>
      <c r="C90" s="49"/>
      <c r="D90" s="49" t="s">
        <v>4418</v>
      </c>
      <c r="E90" s="50"/>
      <c r="F90" s="50"/>
      <c r="R90" s="3" t="s">
        <v>4419</v>
      </c>
      <c r="S90" s="5">
        <f>IFERROR(__xludf.DUMMYFUNCTION("SPLIT(R90,"","")"),89.0)</f>
        <v>89</v>
      </c>
      <c r="T90" s="5" t="str">
        <f>IFERROR(__xludf.DUMMYFUNCTION("""COMPUTED_VALUE"""),"Kroasia")</f>
        <v>Kroasia</v>
      </c>
      <c r="U90" s="5" t="str">
        <f>IFERROR(__xludf.DUMMYFUNCTION("""COMPUTED_VALUE"""),"Eropa")</f>
        <v>Eropa</v>
      </c>
      <c r="AA90" s="3" t="s">
        <v>4420</v>
      </c>
      <c r="AB90" s="5" t="str">
        <f t="shared" si="3"/>
        <v>UNIVERSITAS SRIWIJAYA</v>
      </c>
    </row>
    <row r="91">
      <c r="A91" s="51" t="s">
        <v>4103</v>
      </c>
      <c r="B91" s="51"/>
      <c r="C91" s="51"/>
      <c r="D91" s="51" t="s">
        <v>4421</v>
      </c>
      <c r="E91" s="52"/>
      <c r="F91" s="52"/>
      <c r="R91" s="3" t="s">
        <v>4422</v>
      </c>
      <c r="S91" s="5">
        <f>IFERROR(__xludf.DUMMYFUNCTION("SPLIT(R91,"","")"),90.0)</f>
        <v>90</v>
      </c>
      <c r="T91" s="5" t="str">
        <f>IFERROR(__xludf.DUMMYFUNCTION("""COMPUTED_VALUE"""),"Kuba")</f>
        <v>Kuba</v>
      </c>
      <c r="U91" s="5" t="str">
        <f>IFERROR(__xludf.DUMMYFUNCTION("""COMPUTED_VALUE"""),"Amerika Utara")</f>
        <v>Amerika Utara</v>
      </c>
      <c r="AA91" s="3" t="s">
        <v>4423</v>
      </c>
      <c r="AB91" s="5" t="str">
        <f t="shared" si="3"/>
        <v>UNIVERSITAS SULAWESI BARAT</v>
      </c>
    </row>
    <row r="92">
      <c r="A92" s="49" t="s">
        <v>4119</v>
      </c>
      <c r="B92" s="49"/>
      <c r="C92" s="49"/>
      <c r="D92" s="49" t="s">
        <v>4119</v>
      </c>
      <c r="E92" s="50"/>
      <c r="F92" s="50"/>
      <c r="R92" s="3" t="s">
        <v>4424</v>
      </c>
      <c r="S92" s="5">
        <f>IFERROR(__xludf.DUMMYFUNCTION("SPLIT(R92,"","")"),91.0)</f>
        <v>91</v>
      </c>
      <c r="T92" s="5" t="str">
        <f>IFERROR(__xludf.DUMMYFUNCTION("""COMPUTED_VALUE"""),"Kuwait")</f>
        <v>Kuwait</v>
      </c>
      <c r="U92" s="5" t="str">
        <f>IFERROR(__xludf.DUMMYFUNCTION("""COMPUTED_VALUE"""),"Asia")</f>
        <v>Asia</v>
      </c>
      <c r="AA92" s="3" t="s">
        <v>4425</v>
      </c>
      <c r="AB92" s="5" t="str">
        <f t="shared" si="3"/>
        <v>UNIVERSITAS SULTAN AGENG TIRTAYASA</v>
      </c>
    </row>
    <row r="93">
      <c r="A93" s="51" t="s">
        <v>487</v>
      </c>
      <c r="B93" s="51"/>
      <c r="C93" s="51"/>
      <c r="D93" s="51" t="s">
        <v>4426</v>
      </c>
      <c r="E93" s="52"/>
      <c r="F93" s="52"/>
      <c r="R93" s="3" t="s">
        <v>4427</v>
      </c>
      <c r="S93" s="5">
        <f>IFERROR(__xludf.DUMMYFUNCTION("SPLIT(R93,"","")"),92.0)</f>
        <v>92</v>
      </c>
      <c r="T93" s="5" t="str">
        <f>IFERROR(__xludf.DUMMYFUNCTION("""COMPUTED_VALUE"""),"Laos")</f>
        <v>Laos</v>
      </c>
      <c r="U93" s="5" t="str">
        <f>IFERROR(__xludf.DUMMYFUNCTION("""COMPUTED_VALUE"""),"Asia")</f>
        <v>Asia</v>
      </c>
      <c r="AA93" s="3" t="s">
        <v>4428</v>
      </c>
      <c r="AB93" s="5" t="str">
        <f t="shared" si="3"/>
        <v>UNIVERSITAS SUMATERA UTARA</v>
      </c>
    </row>
    <row r="94">
      <c r="A94" s="49" t="s">
        <v>487</v>
      </c>
      <c r="B94" s="49"/>
      <c r="C94" s="49"/>
      <c r="D94" s="49" t="s">
        <v>4429</v>
      </c>
      <c r="E94" s="50"/>
      <c r="F94" s="50"/>
      <c r="R94" s="3" t="s">
        <v>4430</v>
      </c>
      <c r="S94" s="5">
        <f>IFERROR(__xludf.DUMMYFUNCTION("SPLIT(R94,"","")"),93.0)</f>
        <v>93</v>
      </c>
      <c r="T94" s="5" t="str">
        <f>IFERROR(__xludf.DUMMYFUNCTION("""COMPUTED_VALUE"""),"Latvia")</f>
        <v>Latvia</v>
      </c>
      <c r="U94" s="5" t="str">
        <f>IFERROR(__xludf.DUMMYFUNCTION("""COMPUTED_VALUE"""),"Eropa")</f>
        <v>Eropa</v>
      </c>
      <c r="X94" s="56"/>
      <c r="Y94" s="57"/>
      <c r="AA94" s="3" t="s">
        <v>4431</v>
      </c>
      <c r="AB94" s="5" t="str">
        <f t="shared" si="3"/>
        <v>UNIVERSITAS SURABAYA</v>
      </c>
    </row>
    <row r="95">
      <c r="A95" s="51" t="s">
        <v>487</v>
      </c>
      <c r="B95" s="51"/>
      <c r="C95" s="51"/>
      <c r="D95" s="51" t="s">
        <v>4432</v>
      </c>
      <c r="E95" s="52"/>
      <c r="F95" s="52"/>
      <c r="R95" s="3" t="s">
        <v>4433</v>
      </c>
      <c r="S95" s="5">
        <f>IFERROR(__xludf.DUMMYFUNCTION("SPLIT(R95,"","")"),94.0)</f>
        <v>94</v>
      </c>
      <c r="T95" s="5" t="str">
        <f>IFERROR(__xludf.DUMMYFUNCTION("""COMPUTED_VALUE"""),"Lebanon")</f>
        <v>Lebanon</v>
      </c>
      <c r="U95" s="5" t="str">
        <f>IFERROR(__xludf.DUMMYFUNCTION("""COMPUTED_VALUE"""),"Asia")</f>
        <v>Asia</v>
      </c>
      <c r="X95" s="56"/>
      <c r="Y95" s="57"/>
      <c r="AA95" s="3" t="s">
        <v>4434</v>
      </c>
      <c r="AB95" s="5" t="str">
        <f t="shared" si="3"/>
        <v>UNIVERSITAS SWADAYA GUNUNG JATI</v>
      </c>
    </row>
    <row r="96">
      <c r="A96" s="49" t="s">
        <v>487</v>
      </c>
      <c r="B96" s="49"/>
      <c r="C96" s="49"/>
      <c r="D96" s="49" t="s">
        <v>4435</v>
      </c>
      <c r="E96" s="50"/>
      <c r="F96" s="50"/>
      <c r="R96" s="3" t="s">
        <v>4436</v>
      </c>
      <c r="S96" s="5">
        <f>IFERROR(__xludf.DUMMYFUNCTION("SPLIT(R96,"","")"),95.0)</f>
        <v>95</v>
      </c>
      <c r="T96" s="5" t="str">
        <f>IFERROR(__xludf.DUMMYFUNCTION("""COMPUTED_VALUE"""),"Lesotho")</f>
        <v>Lesotho</v>
      </c>
      <c r="U96" s="5" t="str">
        <f>IFERROR(__xludf.DUMMYFUNCTION("""COMPUTED_VALUE"""),"Afrika")</f>
        <v>Afrika</v>
      </c>
      <c r="X96" s="56"/>
      <c r="Y96" s="57"/>
      <c r="AA96" s="3" t="s">
        <v>4437</v>
      </c>
      <c r="AB96" s="5" t="str">
        <f t="shared" si="3"/>
        <v>UNIVERSITAS SYIAH KUALA</v>
      </c>
    </row>
    <row r="97">
      <c r="A97" s="51" t="s">
        <v>487</v>
      </c>
      <c r="B97" s="51"/>
      <c r="C97" s="51"/>
      <c r="D97" s="51" t="s">
        <v>4334</v>
      </c>
      <c r="E97" s="52"/>
      <c r="F97" s="52"/>
      <c r="R97" s="3" t="s">
        <v>4438</v>
      </c>
      <c r="S97" s="5">
        <f>IFERROR(__xludf.DUMMYFUNCTION("SPLIT(R97,"","")"),96.0)</f>
        <v>96</v>
      </c>
      <c r="T97" s="5" t="str">
        <f>IFERROR(__xludf.DUMMYFUNCTION("""COMPUTED_VALUE"""),"Liberia")</f>
        <v>Liberia</v>
      </c>
      <c r="U97" s="5" t="str">
        <f>IFERROR(__xludf.DUMMYFUNCTION("""COMPUTED_VALUE"""),"Afrika")</f>
        <v>Afrika</v>
      </c>
      <c r="X97" s="56"/>
      <c r="Y97" s="57"/>
      <c r="AA97" s="3" t="s">
        <v>4439</v>
      </c>
      <c r="AB97" s="5" t="str">
        <f t="shared" si="3"/>
        <v>UNIVERSITAS TADULAKO</v>
      </c>
    </row>
    <row r="98">
      <c r="A98" s="49" t="s">
        <v>4119</v>
      </c>
      <c r="B98" s="49"/>
      <c r="C98" s="49"/>
      <c r="D98" s="49" t="s">
        <v>4119</v>
      </c>
      <c r="E98" s="50"/>
      <c r="F98" s="50"/>
      <c r="R98" s="3" t="s">
        <v>4440</v>
      </c>
      <c r="S98" s="5">
        <f>IFERROR(__xludf.DUMMYFUNCTION("SPLIT(R98,"","")"),97.0)</f>
        <v>97</v>
      </c>
      <c r="T98" s="5" t="str">
        <f>IFERROR(__xludf.DUMMYFUNCTION("""COMPUTED_VALUE"""),"Libya")</f>
        <v>Libya</v>
      </c>
      <c r="U98" s="5" t="str">
        <f>IFERROR(__xludf.DUMMYFUNCTION("""COMPUTED_VALUE"""),"Afrika")</f>
        <v>Afrika</v>
      </c>
      <c r="X98" s="56"/>
      <c r="Y98" s="57"/>
      <c r="AA98" s="3" t="s">
        <v>4441</v>
      </c>
      <c r="AB98" s="5" t="str">
        <f t="shared" si="3"/>
        <v>UNIVERSITAS TANJUNGPURA</v>
      </c>
    </row>
    <row r="99">
      <c r="A99" s="51" t="s">
        <v>4103</v>
      </c>
      <c r="B99" s="51"/>
      <c r="C99" s="51"/>
      <c r="D99" s="51" t="s">
        <v>4415</v>
      </c>
      <c r="E99" s="52"/>
      <c r="F99" s="52"/>
      <c r="R99" s="3" t="s">
        <v>4442</v>
      </c>
      <c r="S99" s="5">
        <f>IFERROR(__xludf.DUMMYFUNCTION("SPLIT(R99,"","")"),98.0)</f>
        <v>98</v>
      </c>
      <c r="T99" s="5" t="str">
        <f>IFERROR(__xludf.DUMMYFUNCTION("""COMPUTED_VALUE"""),"Liechtenstein")</f>
        <v>Liechtenstein</v>
      </c>
      <c r="U99" s="5" t="str">
        <f>IFERROR(__xludf.DUMMYFUNCTION("""COMPUTED_VALUE"""),"Eropa")</f>
        <v>Eropa</v>
      </c>
      <c r="X99" s="56"/>
      <c r="Y99" s="57"/>
      <c r="AA99" s="3" t="s">
        <v>4443</v>
      </c>
      <c r="AB99" s="5" t="str">
        <f t="shared" si="3"/>
        <v>UNIVERSITAS TARUMANAGARA</v>
      </c>
    </row>
    <row r="100">
      <c r="A100" s="49" t="s">
        <v>487</v>
      </c>
      <c r="B100" s="49"/>
      <c r="C100" s="49"/>
      <c r="D100" s="49" t="s">
        <v>4444</v>
      </c>
      <c r="E100" s="50"/>
      <c r="F100" s="50"/>
      <c r="R100" s="3" t="s">
        <v>4445</v>
      </c>
      <c r="S100" s="5">
        <f>IFERROR(__xludf.DUMMYFUNCTION("SPLIT(R100,"","")"),99.0)</f>
        <v>99</v>
      </c>
      <c r="T100" s="5" t="str">
        <f>IFERROR(__xludf.DUMMYFUNCTION("""COMPUTED_VALUE"""),"Lithuania")</f>
        <v>Lithuania</v>
      </c>
      <c r="U100" s="5" t="str">
        <f>IFERROR(__xludf.DUMMYFUNCTION("""COMPUTED_VALUE"""),"Eropa")</f>
        <v>Eropa</v>
      </c>
      <c r="X100" s="56"/>
      <c r="Y100" s="57"/>
      <c r="AA100" s="3" t="s">
        <v>4446</v>
      </c>
      <c r="AB100" s="5" t="str">
        <f t="shared" si="3"/>
        <v>UNIVERSITAS TRUNOJOYO</v>
      </c>
    </row>
    <row r="101">
      <c r="A101" s="51" t="s">
        <v>4103</v>
      </c>
      <c r="B101" s="51"/>
      <c r="C101" s="51"/>
      <c r="D101" s="51" t="s">
        <v>4447</v>
      </c>
      <c r="E101" s="52"/>
      <c r="F101" s="52"/>
      <c r="R101" s="3" t="s">
        <v>4448</v>
      </c>
      <c r="S101" s="5">
        <f>IFERROR(__xludf.DUMMYFUNCTION("SPLIT(R101,"","")"),100.0)</f>
        <v>100</v>
      </c>
      <c r="T101" s="5" t="str">
        <f>IFERROR(__xludf.DUMMYFUNCTION("""COMPUTED_VALUE"""),"Luksemburg")</f>
        <v>Luksemburg</v>
      </c>
      <c r="U101" s="5" t="str">
        <f>IFERROR(__xludf.DUMMYFUNCTION("""COMPUTED_VALUE"""),"Eropa")</f>
        <v>Eropa</v>
      </c>
      <c r="X101" s="56"/>
      <c r="Y101" s="57"/>
      <c r="AA101" s="3" t="s">
        <v>4449</v>
      </c>
      <c r="AB101" s="5" t="str">
        <f t="shared" si="3"/>
        <v>UNIVERSITAS UDAYANA</v>
      </c>
    </row>
    <row r="102">
      <c r="A102" s="49" t="s">
        <v>487</v>
      </c>
      <c r="B102" s="49"/>
      <c r="C102" s="49"/>
      <c r="D102" s="49" t="s">
        <v>4450</v>
      </c>
      <c r="E102" s="50"/>
      <c r="F102" s="50"/>
      <c r="R102" s="3" t="s">
        <v>4451</v>
      </c>
      <c r="S102" s="5">
        <f>IFERROR(__xludf.DUMMYFUNCTION("SPLIT(R102,"","")"),101.0)</f>
        <v>101</v>
      </c>
      <c r="T102" s="5" t="str">
        <f>IFERROR(__xludf.DUMMYFUNCTION("""COMPUTED_VALUE"""),"Madagaskar")</f>
        <v>Madagaskar</v>
      </c>
      <c r="U102" s="5" t="str">
        <f>IFERROR(__xludf.DUMMYFUNCTION("""COMPUTED_VALUE"""),"Afrika")</f>
        <v>Afrika</v>
      </c>
      <c r="X102" s="56"/>
      <c r="Y102" s="57"/>
      <c r="AA102" s="3" t="s">
        <v>4452</v>
      </c>
      <c r="AB102" s="5" t="str">
        <f t="shared" si="3"/>
        <v>UNIVERSITAS WARMADEWA</v>
      </c>
    </row>
    <row r="103">
      <c r="A103" s="51" t="s">
        <v>487</v>
      </c>
      <c r="B103" s="51"/>
      <c r="C103" s="51"/>
      <c r="D103" s="51" t="s">
        <v>4453</v>
      </c>
      <c r="E103" s="52"/>
      <c r="F103" s="52"/>
      <c r="R103" s="3" t="s">
        <v>4454</v>
      </c>
      <c r="S103" s="5">
        <f>IFERROR(__xludf.DUMMYFUNCTION("SPLIT(R103,"","")"),102.0)</f>
        <v>102</v>
      </c>
      <c r="T103" s="5" t="str">
        <f>IFERROR(__xludf.DUMMYFUNCTION("""COMPUTED_VALUE"""),"Makedonia Utara")</f>
        <v>Makedonia Utara</v>
      </c>
      <c r="U103" s="5" t="str">
        <f>IFERROR(__xludf.DUMMYFUNCTION("""COMPUTED_VALUE"""),"Eropa")</f>
        <v>Eropa</v>
      </c>
      <c r="AA103" s="3" t="s">
        <v>4455</v>
      </c>
      <c r="AB103" s="5" t="str">
        <f t="shared" si="3"/>
        <v>UNIVERSITAS WIDYATAMA</v>
      </c>
    </row>
    <row r="104">
      <c r="A104" s="49" t="s">
        <v>4167</v>
      </c>
      <c r="B104" s="49"/>
      <c r="C104" s="49"/>
      <c r="D104" s="49" t="s">
        <v>4420</v>
      </c>
      <c r="E104" s="50"/>
      <c r="F104" s="50"/>
      <c r="R104" s="3" t="s">
        <v>4456</v>
      </c>
      <c r="S104" s="5">
        <f>IFERROR(__xludf.DUMMYFUNCTION("SPLIT(R104,"","")"),103.0)</f>
        <v>103</v>
      </c>
      <c r="T104" s="5" t="str">
        <f>IFERROR(__xludf.DUMMYFUNCTION("""COMPUTED_VALUE"""),"Maladewa")</f>
        <v>Maladewa</v>
      </c>
      <c r="U104" s="5" t="str">
        <f>IFERROR(__xludf.DUMMYFUNCTION("""COMPUTED_VALUE"""),"Asia")</f>
        <v>Asia</v>
      </c>
    </row>
    <row r="105">
      <c r="A105" s="51" t="s">
        <v>4137</v>
      </c>
      <c r="B105" s="51"/>
      <c r="C105" s="51"/>
      <c r="D105" s="51" t="s">
        <v>4119</v>
      </c>
      <c r="E105" s="52"/>
      <c r="F105" s="52"/>
      <c r="R105" s="3" t="s">
        <v>4457</v>
      </c>
      <c r="S105" s="5">
        <f>IFERROR(__xludf.DUMMYFUNCTION("SPLIT(R105,"","")"),104.0)</f>
        <v>104</v>
      </c>
      <c r="T105" s="5" t="str">
        <f>IFERROR(__xludf.DUMMYFUNCTION("""COMPUTED_VALUE"""),"Malawi")</f>
        <v>Malawi</v>
      </c>
      <c r="U105" s="5" t="str">
        <f>IFERROR(__xludf.DUMMYFUNCTION("""COMPUTED_VALUE"""),"Afrika")</f>
        <v>Afrika</v>
      </c>
    </row>
    <row r="106">
      <c r="A106" s="49" t="s">
        <v>4119</v>
      </c>
      <c r="B106" s="49"/>
      <c r="C106" s="49"/>
      <c r="D106" s="49" t="s">
        <v>4119</v>
      </c>
      <c r="E106" s="50"/>
      <c r="F106" s="50"/>
      <c r="R106" s="3" t="s">
        <v>4458</v>
      </c>
      <c r="S106" s="5">
        <f>IFERROR(__xludf.DUMMYFUNCTION("SPLIT(R106,"","")"),105.0)</f>
        <v>105</v>
      </c>
      <c r="T106" s="5" t="str">
        <f>IFERROR(__xludf.DUMMYFUNCTION("""COMPUTED_VALUE"""),"Malaysia")</f>
        <v>Malaysia</v>
      </c>
      <c r="U106" s="5" t="str">
        <f>IFERROR(__xludf.DUMMYFUNCTION("""COMPUTED_VALUE"""),"Asia")</f>
        <v>Asia</v>
      </c>
    </row>
    <row r="107">
      <c r="A107" s="51" t="s">
        <v>4119</v>
      </c>
      <c r="B107" s="51"/>
      <c r="C107" s="51"/>
      <c r="D107" s="51" t="s">
        <v>4119</v>
      </c>
      <c r="E107" s="52"/>
      <c r="F107" s="52"/>
      <c r="R107" s="3" t="s">
        <v>4459</v>
      </c>
      <c r="S107" s="5">
        <f>IFERROR(__xludf.DUMMYFUNCTION("SPLIT(R107,"","")"),106.0)</f>
        <v>106</v>
      </c>
      <c r="T107" s="5" t="str">
        <f>IFERROR(__xludf.DUMMYFUNCTION("""COMPUTED_VALUE"""),"Mali")</f>
        <v>Mali</v>
      </c>
      <c r="U107" s="5" t="str">
        <f>IFERROR(__xludf.DUMMYFUNCTION("""COMPUTED_VALUE"""),"Afrika")</f>
        <v>Afrika</v>
      </c>
    </row>
    <row r="108">
      <c r="A108" s="49" t="s">
        <v>487</v>
      </c>
      <c r="B108" s="49"/>
      <c r="C108" s="49"/>
      <c r="D108" s="49" t="s">
        <v>4460</v>
      </c>
      <c r="E108" s="50"/>
      <c r="F108" s="50"/>
      <c r="R108" s="3" t="s">
        <v>4461</v>
      </c>
      <c r="S108" s="5">
        <f>IFERROR(__xludf.DUMMYFUNCTION("SPLIT(R108,"","")"),107.0)</f>
        <v>107</v>
      </c>
      <c r="T108" s="5" t="str">
        <f>IFERROR(__xludf.DUMMYFUNCTION("""COMPUTED_VALUE"""),"Malta")</f>
        <v>Malta</v>
      </c>
      <c r="U108" s="5" t="str">
        <f>IFERROR(__xludf.DUMMYFUNCTION("""COMPUTED_VALUE"""),"Eropa")</f>
        <v>Eropa</v>
      </c>
    </row>
    <row r="109">
      <c r="A109" s="51" t="s">
        <v>4462</v>
      </c>
      <c r="B109" s="51"/>
      <c r="C109" s="51"/>
      <c r="D109" s="51" t="s">
        <v>4463</v>
      </c>
      <c r="E109" s="52"/>
      <c r="F109" s="52"/>
      <c r="R109" s="3" t="s">
        <v>4464</v>
      </c>
      <c r="S109" s="5">
        <f>IFERROR(__xludf.DUMMYFUNCTION("SPLIT(R109,"","")"),108.0)</f>
        <v>108</v>
      </c>
      <c r="T109" s="5" t="str">
        <f>IFERROR(__xludf.DUMMYFUNCTION("""COMPUTED_VALUE"""),"Maroko")</f>
        <v>Maroko</v>
      </c>
      <c r="U109" s="5" t="str">
        <f>IFERROR(__xludf.DUMMYFUNCTION("""COMPUTED_VALUE"""),"Afrika")</f>
        <v>Afrika</v>
      </c>
    </row>
    <row r="110">
      <c r="A110" s="49" t="s">
        <v>4103</v>
      </c>
      <c r="B110" s="49"/>
      <c r="C110" s="49"/>
      <c r="D110" s="49" t="s">
        <v>4465</v>
      </c>
      <c r="E110" s="50"/>
      <c r="F110" s="50"/>
      <c r="R110" s="3" t="s">
        <v>4466</v>
      </c>
      <c r="S110" s="5">
        <f>IFERROR(__xludf.DUMMYFUNCTION("SPLIT(R110,"","")"),109.0)</f>
        <v>109</v>
      </c>
      <c r="T110" s="5" t="str">
        <f>IFERROR(__xludf.DUMMYFUNCTION("""COMPUTED_VALUE"""),"Marshall (Kepulauan)")</f>
        <v>Marshall (Kepulauan)</v>
      </c>
      <c r="U110" s="5" t="str">
        <f>IFERROR(__xludf.DUMMYFUNCTION("""COMPUTED_VALUE"""),"Oceania")</f>
        <v>Oceania</v>
      </c>
    </row>
    <row r="111">
      <c r="A111" s="51" t="s">
        <v>487</v>
      </c>
      <c r="B111" s="51"/>
      <c r="C111" s="51"/>
      <c r="D111" s="51" t="s">
        <v>4467</v>
      </c>
      <c r="E111" s="52"/>
      <c r="F111" s="52"/>
      <c r="R111" s="3" t="s">
        <v>4468</v>
      </c>
      <c r="S111" s="5">
        <f>IFERROR(__xludf.DUMMYFUNCTION("SPLIT(R111,"","")"),110.0)</f>
        <v>110</v>
      </c>
      <c r="T111" s="5" t="str">
        <f>IFERROR(__xludf.DUMMYFUNCTION("""COMPUTED_VALUE"""),"Mauritania")</f>
        <v>Mauritania</v>
      </c>
      <c r="U111" s="5" t="str">
        <f>IFERROR(__xludf.DUMMYFUNCTION("""COMPUTED_VALUE"""),"Afrika")</f>
        <v>Afrika</v>
      </c>
    </row>
    <row r="112">
      <c r="A112" s="49" t="s">
        <v>4137</v>
      </c>
      <c r="B112" s="49"/>
      <c r="C112" s="49"/>
      <c r="D112" s="49" t="s">
        <v>4119</v>
      </c>
      <c r="E112" s="50"/>
      <c r="F112" s="50"/>
      <c r="R112" s="3" t="s">
        <v>4469</v>
      </c>
      <c r="S112" s="5">
        <f>IFERROR(__xludf.DUMMYFUNCTION("SPLIT(R112,"","")"),111.0)</f>
        <v>111</v>
      </c>
      <c r="T112" s="5" t="str">
        <f>IFERROR(__xludf.DUMMYFUNCTION("""COMPUTED_VALUE"""),"Mauritius")</f>
        <v>Mauritius</v>
      </c>
      <c r="U112" s="5" t="str">
        <f>IFERROR(__xludf.DUMMYFUNCTION("""COMPUTED_VALUE"""),"Afrika")</f>
        <v>Afrika</v>
      </c>
    </row>
    <row r="113">
      <c r="A113" s="51" t="s">
        <v>4109</v>
      </c>
      <c r="B113" s="51"/>
      <c r="C113" s="51"/>
      <c r="D113" s="51" t="s">
        <v>4470</v>
      </c>
      <c r="E113" s="52"/>
      <c r="F113" s="52"/>
      <c r="R113" s="3" t="s">
        <v>4471</v>
      </c>
      <c r="S113" s="5">
        <f>IFERROR(__xludf.DUMMYFUNCTION("SPLIT(R113,"","")"),112.0)</f>
        <v>112</v>
      </c>
      <c r="T113" s="5" t="str">
        <f>IFERROR(__xludf.DUMMYFUNCTION("""COMPUTED_VALUE"""),"Meksiko")</f>
        <v>Meksiko</v>
      </c>
      <c r="U113" s="5" t="str">
        <f>IFERROR(__xludf.DUMMYFUNCTION("""COMPUTED_VALUE"""),"Amerika Utara")</f>
        <v>Amerika Utara</v>
      </c>
    </row>
    <row r="114">
      <c r="A114" s="49" t="s">
        <v>487</v>
      </c>
      <c r="B114" s="49"/>
      <c r="C114" s="49"/>
      <c r="D114" s="49" t="s">
        <v>4472</v>
      </c>
      <c r="E114" s="50"/>
      <c r="F114" s="50"/>
      <c r="R114" s="3" t="s">
        <v>4473</v>
      </c>
      <c r="S114" s="5">
        <f>IFERROR(__xludf.DUMMYFUNCTION("SPLIT(R114,"","")"),113.0)</f>
        <v>113</v>
      </c>
      <c r="T114" s="5" t="str">
        <f>IFERROR(__xludf.DUMMYFUNCTION("""COMPUTED_VALUE"""),"Mesir")</f>
        <v>Mesir</v>
      </c>
      <c r="U114" s="5" t="str">
        <f>IFERROR(__xludf.DUMMYFUNCTION("""COMPUTED_VALUE"""),"Afrika")</f>
        <v>Afrika</v>
      </c>
    </row>
    <row r="115">
      <c r="A115" s="51" t="s">
        <v>4103</v>
      </c>
      <c r="B115" s="51"/>
      <c r="C115" s="51"/>
      <c r="D115" s="51" t="s">
        <v>4474</v>
      </c>
      <c r="E115" s="52"/>
      <c r="F115" s="52"/>
      <c r="R115" s="3" t="s">
        <v>4475</v>
      </c>
      <c r="S115" s="5">
        <f>IFERROR(__xludf.DUMMYFUNCTION("SPLIT(R115,"","")"),114.0)</f>
        <v>114</v>
      </c>
      <c r="T115" s="5" t="str">
        <f>IFERROR(__xludf.DUMMYFUNCTION("""COMPUTED_VALUE"""),"Mikronesia")</f>
        <v>Mikronesia</v>
      </c>
      <c r="U115" s="5" t="str">
        <f>IFERROR(__xludf.DUMMYFUNCTION("""COMPUTED_VALUE"""),"Oceania")</f>
        <v>Oceania</v>
      </c>
    </row>
    <row r="116">
      <c r="A116" s="49" t="s">
        <v>4137</v>
      </c>
      <c r="B116" s="49"/>
      <c r="C116" s="49"/>
      <c r="D116" s="49" t="s">
        <v>4357</v>
      </c>
      <c r="E116" s="50"/>
      <c r="F116" s="50"/>
      <c r="R116" s="3" t="s">
        <v>4476</v>
      </c>
      <c r="S116" s="5">
        <f>IFERROR(__xludf.DUMMYFUNCTION("SPLIT(R116,"","")"),115.0)</f>
        <v>115</v>
      </c>
      <c r="T116" s="5" t="str">
        <f>IFERROR(__xludf.DUMMYFUNCTION("""COMPUTED_VALUE"""),"Moldova")</f>
        <v>Moldova</v>
      </c>
      <c r="U116" s="5" t="str">
        <f>IFERROR(__xludf.DUMMYFUNCTION("""COMPUTED_VALUE"""),"Eropa")</f>
        <v>Eropa</v>
      </c>
    </row>
    <row r="117">
      <c r="A117" s="51" t="s">
        <v>4119</v>
      </c>
      <c r="B117" s="51"/>
      <c r="C117" s="51"/>
      <c r="D117" s="51" t="s">
        <v>4119</v>
      </c>
      <c r="E117" s="52"/>
      <c r="F117" s="52"/>
      <c r="R117" s="3" t="s">
        <v>4477</v>
      </c>
      <c r="S117" s="5">
        <f>IFERROR(__xludf.DUMMYFUNCTION("SPLIT(R117,"","")"),116.0)</f>
        <v>116</v>
      </c>
      <c r="T117" s="5" t="str">
        <f>IFERROR(__xludf.DUMMYFUNCTION("""COMPUTED_VALUE"""),"Monako")</f>
        <v>Monako</v>
      </c>
      <c r="U117" s="5" t="str">
        <f>IFERROR(__xludf.DUMMYFUNCTION("""COMPUTED_VALUE"""),"Eropa")</f>
        <v>Eropa</v>
      </c>
    </row>
    <row r="118">
      <c r="A118" s="49" t="s">
        <v>4119</v>
      </c>
      <c r="B118" s="49"/>
      <c r="C118" s="49"/>
      <c r="D118" s="49" t="s">
        <v>4119</v>
      </c>
      <c r="E118" s="50"/>
      <c r="F118" s="50"/>
      <c r="R118" s="3" t="s">
        <v>4478</v>
      </c>
      <c r="S118" s="5">
        <f>IFERROR(__xludf.DUMMYFUNCTION("SPLIT(R118,"","")"),117.0)</f>
        <v>117</v>
      </c>
      <c r="T118" s="5" t="str">
        <f>IFERROR(__xludf.DUMMYFUNCTION("""COMPUTED_VALUE"""),"Mongolia")</f>
        <v>Mongolia</v>
      </c>
      <c r="U118" s="5" t="str">
        <f>IFERROR(__xludf.DUMMYFUNCTION("""COMPUTED_VALUE"""),"Asia")</f>
        <v>Asia</v>
      </c>
    </row>
    <row r="119">
      <c r="A119" s="51" t="s">
        <v>487</v>
      </c>
      <c r="B119" s="51"/>
      <c r="C119" s="51"/>
      <c r="D119" s="51" t="s">
        <v>4479</v>
      </c>
      <c r="E119" s="52"/>
      <c r="F119" s="52"/>
      <c r="R119" s="3" t="s">
        <v>4480</v>
      </c>
      <c r="S119" s="5">
        <f>IFERROR(__xludf.DUMMYFUNCTION("SPLIT(R119,"","")"),118.0)</f>
        <v>118</v>
      </c>
      <c r="T119" s="5" t="str">
        <f>IFERROR(__xludf.DUMMYFUNCTION("""COMPUTED_VALUE"""),"Montenegro")</f>
        <v>Montenegro</v>
      </c>
      <c r="U119" s="5" t="str">
        <f>IFERROR(__xludf.DUMMYFUNCTION("""COMPUTED_VALUE"""),"Eropa")</f>
        <v>Eropa</v>
      </c>
    </row>
    <row r="120">
      <c r="A120" s="49" t="s">
        <v>487</v>
      </c>
      <c r="B120" s="49"/>
      <c r="C120" s="49"/>
      <c r="D120" s="49" t="s">
        <v>4481</v>
      </c>
      <c r="E120" s="50"/>
      <c r="F120" s="50"/>
      <c r="R120" s="3" t="s">
        <v>4482</v>
      </c>
      <c r="S120" s="5">
        <f>IFERROR(__xludf.DUMMYFUNCTION("SPLIT(R120,"","")"),119.0)</f>
        <v>119</v>
      </c>
      <c r="T120" s="5" t="str">
        <f>IFERROR(__xludf.DUMMYFUNCTION("""COMPUTED_VALUE"""),"Mozambik")</f>
        <v>Mozambik</v>
      </c>
      <c r="U120" s="5" t="str">
        <f>IFERROR(__xludf.DUMMYFUNCTION("""COMPUTED_VALUE"""),"Afrika")</f>
        <v>Afrika</v>
      </c>
    </row>
    <row r="121">
      <c r="A121" s="51" t="s">
        <v>487</v>
      </c>
      <c r="B121" s="51"/>
      <c r="C121" s="51"/>
      <c r="D121" s="51" t="s">
        <v>4483</v>
      </c>
      <c r="E121" s="52"/>
      <c r="F121" s="52"/>
      <c r="R121" s="3" t="s">
        <v>4484</v>
      </c>
      <c r="S121" s="5">
        <f>IFERROR(__xludf.DUMMYFUNCTION("SPLIT(R121,"","")"),120.0)</f>
        <v>120</v>
      </c>
      <c r="T121" s="5" t="str">
        <f>IFERROR(__xludf.DUMMYFUNCTION("""COMPUTED_VALUE"""),"Myanmar")</f>
        <v>Myanmar</v>
      </c>
      <c r="U121" s="5" t="str">
        <f>IFERROR(__xludf.DUMMYFUNCTION("""COMPUTED_VALUE"""),"Asia")</f>
        <v>Asia</v>
      </c>
    </row>
    <row r="122">
      <c r="A122" s="49" t="s">
        <v>487</v>
      </c>
      <c r="B122" s="49"/>
      <c r="C122" s="49"/>
      <c r="D122" s="49" t="s">
        <v>4485</v>
      </c>
      <c r="E122" s="50"/>
      <c r="F122" s="50"/>
      <c r="R122" s="3" t="s">
        <v>4486</v>
      </c>
      <c r="S122" s="5">
        <f>IFERROR(__xludf.DUMMYFUNCTION("SPLIT(R122,"","")"),121.0)</f>
        <v>121</v>
      </c>
      <c r="T122" s="5" t="str">
        <f>IFERROR(__xludf.DUMMYFUNCTION("""COMPUTED_VALUE"""),"Namibia")</f>
        <v>Namibia</v>
      </c>
      <c r="U122" s="5" t="str">
        <f>IFERROR(__xludf.DUMMYFUNCTION("""COMPUTED_VALUE"""),"Afrika")</f>
        <v>Afrika</v>
      </c>
    </row>
    <row r="123">
      <c r="A123" s="51" t="s">
        <v>487</v>
      </c>
      <c r="B123" s="51"/>
      <c r="C123" s="51"/>
      <c r="D123" s="51" t="s">
        <v>4487</v>
      </c>
      <c r="E123" s="52"/>
      <c r="F123" s="52"/>
      <c r="R123" s="3" t="s">
        <v>4488</v>
      </c>
      <c r="S123" s="5">
        <f>IFERROR(__xludf.DUMMYFUNCTION("SPLIT(R123,"","")"),122.0)</f>
        <v>122</v>
      </c>
      <c r="T123" s="5" t="str">
        <f>IFERROR(__xludf.DUMMYFUNCTION("""COMPUTED_VALUE"""),"Nauru")</f>
        <v>Nauru</v>
      </c>
      <c r="U123" s="5" t="str">
        <f>IFERROR(__xludf.DUMMYFUNCTION("""COMPUTED_VALUE"""),"Oceania")</f>
        <v>Oceania</v>
      </c>
    </row>
    <row r="124">
      <c r="A124" s="49" t="s">
        <v>4103</v>
      </c>
      <c r="B124" s="49"/>
      <c r="C124" s="49"/>
      <c r="D124" s="49" t="s">
        <v>4489</v>
      </c>
      <c r="E124" s="50"/>
      <c r="F124" s="50"/>
      <c r="R124" s="3" t="s">
        <v>4490</v>
      </c>
      <c r="S124" s="5">
        <f>IFERROR(__xludf.DUMMYFUNCTION("SPLIT(R124,"","")"),123.0)</f>
        <v>123</v>
      </c>
      <c r="T124" s="5" t="str">
        <f>IFERROR(__xludf.DUMMYFUNCTION("""COMPUTED_VALUE"""),"Nepal")</f>
        <v>Nepal</v>
      </c>
      <c r="U124" s="5" t="str">
        <f>IFERROR(__xludf.DUMMYFUNCTION("""COMPUTED_VALUE"""),"Asia")</f>
        <v>Asia</v>
      </c>
    </row>
    <row r="125">
      <c r="A125" s="51" t="s">
        <v>4103</v>
      </c>
      <c r="B125" s="51"/>
      <c r="C125" s="51"/>
      <c r="D125" s="51" t="s">
        <v>4491</v>
      </c>
      <c r="E125" s="52"/>
      <c r="F125" s="52"/>
      <c r="R125" s="3" t="s">
        <v>4492</v>
      </c>
      <c r="S125" s="5">
        <f>IFERROR(__xludf.DUMMYFUNCTION("SPLIT(R125,"","")"),124.0)</f>
        <v>124</v>
      </c>
      <c r="T125" s="5" t="str">
        <f>IFERROR(__xludf.DUMMYFUNCTION("""COMPUTED_VALUE"""),"Niger")</f>
        <v>Niger</v>
      </c>
      <c r="U125" s="5" t="str">
        <f>IFERROR(__xludf.DUMMYFUNCTION("""COMPUTED_VALUE"""),"Afrika")</f>
        <v>Afrika</v>
      </c>
    </row>
    <row r="126">
      <c r="A126" s="49" t="s">
        <v>487</v>
      </c>
      <c r="B126" s="49"/>
      <c r="C126" s="49"/>
      <c r="D126" s="49" t="s">
        <v>4493</v>
      </c>
      <c r="E126" s="50"/>
      <c r="F126" s="50"/>
      <c r="R126" s="3" t="s">
        <v>4494</v>
      </c>
      <c r="S126" s="5">
        <f>IFERROR(__xludf.DUMMYFUNCTION("SPLIT(R126,"","")"),125.0)</f>
        <v>125</v>
      </c>
      <c r="T126" s="5" t="str">
        <f>IFERROR(__xludf.DUMMYFUNCTION("""COMPUTED_VALUE"""),"Nigeria")</f>
        <v>Nigeria</v>
      </c>
      <c r="U126" s="5" t="str">
        <f>IFERROR(__xludf.DUMMYFUNCTION("""COMPUTED_VALUE"""),"Afrika")</f>
        <v>Afrika</v>
      </c>
    </row>
    <row r="127">
      <c r="A127" s="51" t="s">
        <v>4119</v>
      </c>
      <c r="B127" s="51"/>
      <c r="C127" s="51"/>
      <c r="D127" s="51" t="s">
        <v>4119</v>
      </c>
      <c r="E127" s="52"/>
      <c r="F127" s="52"/>
      <c r="R127" s="3" t="s">
        <v>4495</v>
      </c>
      <c r="S127" s="5">
        <f>IFERROR(__xludf.DUMMYFUNCTION("SPLIT(R127,"","")"),126.0)</f>
        <v>126</v>
      </c>
      <c r="T127" s="5" t="str">
        <f>IFERROR(__xludf.DUMMYFUNCTION("""COMPUTED_VALUE"""),"Nikaragua")</f>
        <v>Nikaragua</v>
      </c>
      <c r="U127" s="5" t="str">
        <f>IFERROR(__xludf.DUMMYFUNCTION("""COMPUTED_VALUE"""),"Amerika Utara")</f>
        <v>Amerika Utara</v>
      </c>
    </row>
    <row r="128">
      <c r="A128" s="49" t="s">
        <v>487</v>
      </c>
      <c r="B128" s="49"/>
      <c r="C128" s="49"/>
      <c r="D128" s="49" t="s">
        <v>4496</v>
      </c>
      <c r="E128" s="50"/>
      <c r="F128" s="50"/>
      <c r="R128" s="3" t="s">
        <v>4497</v>
      </c>
      <c r="S128" s="5">
        <f>IFERROR(__xludf.DUMMYFUNCTION("SPLIT(R128,"","")"),127.0)</f>
        <v>127</v>
      </c>
      <c r="T128" s="5" t="str">
        <f>IFERROR(__xludf.DUMMYFUNCTION("""COMPUTED_VALUE"""),"Norwegia")</f>
        <v>Norwegia</v>
      </c>
      <c r="U128" s="5" t="str">
        <f>IFERROR(__xludf.DUMMYFUNCTION("""COMPUTED_VALUE"""),"Eropa")</f>
        <v>Eropa</v>
      </c>
    </row>
    <row r="129">
      <c r="A129" s="51" t="s">
        <v>487</v>
      </c>
      <c r="B129" s="51"/>
      <c r="C129" s="51"/>
      <c r="D129" s="51" t="s">
        <v>4498</v>
      </c>
      <c r="E129" s="52"/>
      <c r="F129" s="52"/>
      <c r="R129" s="3" t="s">
        <v>4499</v>
      </c>
      <c r="S129" s="5">
        <f>IFERROR(__xludf.DUMMYFUNCTION("SPLIT(R129,"","")"),128.0)</f>
        <v>128</v>
      </c>
      <c r="T129" s="5" t="str">
        <f>IFERROR(__xludf.DUMMYFUNCTION("""COMPUTED_VALUE"""),"Oman")</f>
        <v>Oman</v>
      </c>
      <c r="U129" s="5" t="str">
        <f>IFERROR(__xludf.DUMMYFUNCTION("""COMPUTED_VALUE"""),"Asia")</f>
        <v>Asia</v>
      </c>
    </row>
    <row r="130">
      <c r="A130" s="49" t="s">
        <v>4082</v>
      </c>
      <c r="B130" s="49"/>
      <c r="C130" s="49"/>
      <c r="D130" s="49" t="s">
        <v>4500</v>
      </c>
      <c r="E130" s="50"/>
      <c r="F130" s="50"/>
      <c r="R130" s="3" t="s">
        <v>4501</v>
      </c>
      <c r="S130" s="5">
        <f>IFERROR(__xludf.DUMMYFUNCTION("SPLIT(R130,"","")"),129.0)</f>
        <v>129</v>
      </c>
      <c r="T130" s="5" t="str">
        <f>IFERROR(__xludf.DUMMYFUNCTION("""COMPUTED_VALUE"""),"Pakistan")</f>
        <v>Pakistan</v>
      </c>
      <c r="U130" s="5" t="str">
        <f>IFERROR(__xludf.DUMMYFUNCTION("""COMPUTED_VALUE"""),"Asia")</f>
        <v>Asia</v>
      </c>
    </row>
    <row r="131">
      <c r="A131" s="51" t="s">
        <v>4346</v>
      </c>
      <c r="B131" s="51"/>
      <c r="C131" s="51"/>
      <c r="D131" s="51" t="s">
        <v>4502</v>
      </c>
      <c r="E131" s="52"/>
      <c r="F131" s="52"/>
      <c r="R131" s="3" t="s">
        <v>4503</v>
      </c>
      <c r="S131" s="5">
        <f>IFERROR(__xludf.DUMMYFUNCTION("SPLIT(R131,"","")"),130.0)</f>
        <v>130</v>
      </c>
      <c r="T131" s="5" t="str">
        <f>IFERROR(__xludf.DUMMYFUNCTION("""COMPUTED_VALUE"""),"Palau")</f>
        <v>Palau</v>
      </c>
      <c r="U131" s="5" t="str">
        <f>IFERROR(__xludf.DUMMYFUNCTION("""COMPUTED_VALUE"""),"Oceania")</f>
        <v>Oceania</v>
      </c>
    </row>
    <row r="132">
      <c r="A132" s="49" t="s">
        <v>487</v>
      </c>
      <c r="B132" s="49"/>
      <c r="C132" s="49"/>
      <c r="D132" s="49" t="s">
        <v>4504</v>
      </c>
      <c r="E132" s="50"/>
      <c r="F132" s="50"/>
      <c r="R132" s="3" t="s">
        <v>4505</v>
      </c>
      <c r="S132" s="5">
        <f>IFERROR(__xludf.DUMMYFUNCTION("SPLIT(R132,"","")"),131.0)</f>
        <v>131</v>
      </c>
      <c r="T132" s="5" t="str">
        <f>IFERROR(__xludf.DUMMYFUNCTION("""COMPUTED_VALUE"""),"Palestina")</f>
        <v>Palestina</v>
      </c>
      <c r="U132" s="5" t="str">
        <f>IFERROR(__xludf.DUMMYFUNCTION("""COMPUTED_VALUE"""),"Asia")</f>
        <v>Asia</v>
      </c>
    </row>
    <row r="133">
      <c r="A133" s="51" t="s">
        <v>487</v>
      </c>
      <c r="B133" s="51"/>
      <c r="C133" s="51"/>
      <c r="D133" s="51" t="s">
        <v>4506</v>
      </c>
      <c r="E133" s="52"/>
      <c r="F133" s="52"/>
      <c r="R133" s="3" t="s">
        <v>4507</v>
      </c>
      <c r="S133" s="5">
        <f>IFERROR(__xludf.DUMMYFUNCTION("SPLIT(R133,"","")"),132.0)</f>
        <v>132</v>
      </c>
      <c r="T133" s="5" t="str">
        <f>IFERROR(__xludf.DUMMYFUNCTION("""COMPUTED_VALUE"""),"Panama")</f>
        <v>Panama</v>
      </c>
      <c r="U133" s="5" t="str">
        <f>IFERROR(__xludf.DUMMYFUNCTION("""COMPUTED_VALUE"""),"Amerika Utara")</f>
        <v>Amerika Utara</v>
      </c>
    </row>
    <row r="134">
      <c r="A134" s="49" t="s">
        <v>4167</v>
      </c>
      <c r="B134" s="49"/>
      <c r="C134" s="49"/>
      <c r="D134" s="49" t="s">
        <v>4194</v>
      </c>
      <c r="E134" s="50"/>
      <c r="F134" s="50"/>
      <c r="R134" s="3" t="s">
        <v>4508</v>
      </c>
      <c r="S134" s="5">
        <f>IFERROR(__xludf.DUMMYFUNCTION("SPLIT(R134,"","")"),133.0)</f>
        <v>133</v>
      </c>
      <c r="T134" s="5" t="str">
        <f>IFERROR(__xludf.DUMMYFUNCTION("""COMPUTED_VALUE"""),"Pantai Gading")</f>
        <v>Pantai Gading</v>
      </c>
      <c r="U134" s="5" t="str">
        <f>IFERROR(__xludf.DUMMYFUNCTION("""COMPUTED_VALUE"""),"Afrika")</f>
        <v>Afrika</v>
      </c>
    </row>
    <row r="135">
      <c r="A135" s="51" t="s">
        <v>487</v>
      </c>
      <c r="B135" s="51"/>
      <c r="C135" s="51"/>
      <c r="D135" s="51" t="s">
        <v>4509</v>
      </c>
      <c r="E135" s="52"/>
      <c r="F135" s="52"/>
      <c r="R135" s="3" t="s">
        <v>4510</v>
      </c>
      <c r="S135" s="5">
        <f>IFERROR(__xludf.DUMMYFUNCTION("SPLIT(R135,"","")"),134.0)</f>
        <v>134</v>
      </c>
      <c r="T135" s="5" t="str">
        <f>IFERROR(__xludf.DUMMYFUNCTION("""COMPUTED_VALUE"""),"Papua Nugini")</f>
        <v>Papua Nugini</v>
      </c>
      <c r="U135" s="5" t="str">
        <f>IFERROR(__xludf.DUMMYFUNCTION("""COMPUTED_VALUE"""),"Oceania")</f>
        <v>Oceania</v>
      </c>
    </row>
    <row r="136">
      <c r="A136" s="49" t="s">
        <v>487</v>
      </c>
      <c r="B136" s="49"/>
      <c r="C136" s="49"/>
      <c r="D136" s="49" t="s">
        <v>4511</v>
      </c>
      <c r="E136" s="50"/>
      <c r="F136" s="50"/>
      <c r="R136" s="3" t="s">
        <v>4512</v>
      </c>
      <c r="S136" s="5">
        <f>IFERROR(__xludf.DUMMYFUNCTION("SPLIT(R136,"","")"),135.0)</f>
        <v>135</v>
      </c>
      <c r="T136" s="5" t="str">
        <f>IFERROR(__xludf.DUMMYFUNCTION("""COMPUTED_VALUE"""),"Paraguay")</f>
        <v>Paraguay</v>
      </c>
      <c r="U136" s="5" t="str">
        <f>IFERROR(__xludf.DUMMYFUNCTION("""COMPUTED_VALUE"""),"Amerika Selatan")</f>
        <v>Amerika Selatan</v>
      </c>
    </row>
    <row r="137">
      <c r="A137" s="51" t="s">
        <v>4103</v>
      </c>
      <c r="B137" s="51"/>
      <c r="C137" s="51"/>
      <c r="D137" s="51" t="s">
        <v>4513</v>
      </c>
      <c r="E137" s="52"/>
      <c r="F137" s="52"/>
      <c r="R137" s="3" t="s">
        <v>4514</v>
      </c>
      <c r="S137" s="5">
        <f>IFERROR(__xludf.DUMMYFUNCTION("SPLIT(R137,"","")"),136.0)</f>
        <v>136</v>
      </c>
      <c r="T137" s="5" t="str">
        <f>IFERROR(__xludf.DUMMYFUNCTION("""COMPUTED_VALUE"""),"Peru")</f>
        <v>Peru</v>
      </c>
      <c r="U137" s="5" t="str">
        <f>IFERROR(__xludf.DUMMYFUNCTION("""COMPUTED_VALUE"""),"Amerika Selatan")</f>
        <v>Amerika Selatan</v>
      </c>
    </row>
    <row r="138">
      <c r="A138" s="49" t="s">
        <v>487</v>
      </c>
      <c r="B138" s="49"/>
      <c r="C138" s="49"/>
      <c r="D138" s="49" t="s">
        <v>4515</v>
      </c>
      <c r="E138" s="50"/>
      <c r="F138" s="50"/>
      <c r="R138" s="3" t="s">
        <v>4516</v>
      </c>
      <c r="S138" s="5">
        <f>IFERROR(__xludf.DUMMYFUNCTION("SPLIT(R138,"","")"),137.0)</f>
        <v>137</v>
      </c>
      <c r="T138" s="5" t="str">
        <f>IFERROR(__xludf.DUMMYFUNCTION("""COMPUTED_VALUE"""),"Polandia")</f>
        <v>Polandia</v>
      </c>
      <c r="U138" s="5" t="str">
        <f>IFERROR(__xludf.DUMMYFUNCTION("""COMPUTED_VALUE"""),"Eropa")</f>
        <v>Eropa</v>
      </c>
    </row>
    <row r="139">
      <c r="A139" s="51" t="s">
        <v>4103</v>
      </c>
      <c r="B139" s="51"/>
      <c r="C139" s="51"/>
      <c r="D139" s="51" t="s">
        <v>4517</v>
      </c>
      <c r="E139" s="52"/>
      <c r="F139" s="52"/>
      <c r="R139" s="3" t="s">
        <v>4518</v>
      </c>
      <c r="S139" s="5">
        <f>IFERROR(__xludf.DUMMYFUNCTION("SPLIT(R139,"","")"),138.0)</f>
        <v>138</v>
      </c>
      <c r="T139" s="5" t="str">
        <f>IFERROR(__xludf.DUMMYFUNCTION("""COMPUTED_VALUE"""),"Portugal")</f>
        <v>Portugal</v>
      </c>
      <c r="U139" s="5" t="str">
        <f>IFERROR(__xludf.DUMMYFUNCTION("""COMPUTED_VALUE"""),"Eropa")</f>
        <v>Eropa</v>
      </c>
    </row>
    <row r="140">
      <c r="A140" s="49" t="s">
        <v>4167</v>
      </c>
      <c r="B140" s="49"/>
      <c r="C140" s="49"/>
      <c r="D140" s="49" t="s">
        <v>4194</v>
      </c>
      <c r="E140" s="50"/>
      <c r="F140" s="50"/>
      <c r="R140" s="3" t="s">
        <v>4519</v>
      </c>
      <c r="S140" s="5">
        <f>IFERROR(__xludf.DUMMYFUNCTION("SPLIT(R140,"","")"),139.0)</f>
        <v>139</v>
      </c>
      <c r="T140" s="5" t="str">
        <f>IFERROR(__xludf.DUMMYFUNCTION("""COMPUTED_VALUE"""),"Prancis")</f>
        <v>Prancis</v>
      </c>
      <c r="U140" s="5" t="str">
        <f>IFERROR(__xludf.DUMMYFUNCTION("""COMPUTED_VALUE"""),"Eropa")</f>
        <v>Eropa</v>
      </c>
    </row>
    <row r="141">
      <c r="A141" s="51" t="s">
        <v>4082</v>
      </c>
      <c r="B141" s="51"/>
      <c r="C141" s="51"/>
      <c r="D141" s="51" t="s">
        <v>4520</v>
      </c>
      <c r="E141" s="52"/>
      <c r="F141" s="52"/>
      <c r="R141" s="3" t="s">
        <v>4521</v>
      </c>
      <c r="S141" s="5">
        <f>IFERROR(__xludf.DUMMYFUNCTION("SPLIT(R141,"","")"),140.0)</f>
        <v>140</v>
      </c>
      <c r="T141" s="5" t="str">
        <f>IFERROR(__xludf.DUMMYFUNCTION("""COMPUTED_VALUE"""),"Qatar")</f>
        <v>Qatar</v>
      </c>
      <c r="U141" s="5" t="str">
        <f>IFERROR(__xludf.DUMMYFUNCTION("""COMPUTED_VALUE"""),"Asia")</f>
        <v>Asia</v>
      </c>
    </row>
    <row r="142">
      <c r="A142" s="49" t="s">
        <v>4119</v>
      </c>
      <c r="B142" s="49"/>
      <c r="C142" s="49"/>
      <c r="D142" s="49" t="s">
        <v>4119</v>
      </c>
      <c r="E142" s="50"/>
      <c r="F142" s="50"/>
      <c r="R142" s="3" t="s">
        <v>4522</v>
      </c>
      <c r="S142" s="5">
        <f>IFERROR(__xludf.DUMMYFUNCTION("SPLIT(R142,"","")"),141.0)</f>
        <v>141</v>
      </c>
      <c r="T142" s="5" t="str">
        <f>IFERROR(__xludf.DUMMYFUNCTION("""COMPUTED_VALUE"""),"Republik Dominika")</f>
        <v>Republik Dominika</v>
      </c>
      <c r="U142" s="5" t="str">
        <f>IFERROR(__xludf.DUMMYFUNCTION("""COMPUTED_VALUE"""),"Amerika Utara")</f>
        <v>Amerika Utara</v>
      </c>
    </row>
    <row r="143">
      <c r="A143" s="51" t="s">
        <v>4409</v>
      </c>
      <c r="B143" s="51"/>
      <c r="C143" s="51"/>
      <c r="D143" s="51" t="s">
        <v>4523</v>
      </c>
      <c r="E143" s="52"/>
      <c r="F143" s="52"/>
      <c r="R143" s="3" t="s">
        <v>4524</v>
      </c>
      <c r="S143" s="5">
        <f>IFERROR(__xludf.DUMMYFUNCTION("SPLIT(R143,"","")"),142.0)</f>
        <v>142</v>
      </c>
      <c r="T143" s="5" t="str">
        <f>IFERROR(__xludf.DUMMYFUNCTION("""COMPUTED_VALUE"""),"Rumania")</f>
        <v>Rumania</v>
      </c>
      <c r="U143" s="5" t="str">
        <f>IFERROR(__xludf.DUMMYFUNCTION("""COMPUTED_VALUE"""),"Eropa")</f>
        <v>Eropa</v>
      </c>
    </row>
    <row r="144">
      <c r="A144" s="49" t="s">
        <v>487</v>
      </c>
      <c r="B144" s="49"/>
      <c r="C144" s="49"/>
      <c r="D144" s="49" t="s">
        <v>4525</v>
      </c>
      <c r="E144" s="50"/>
      <c r="F144" s="50"/>
      <c r="R144" s="3" t="s">
        <v>4526</v>
      </c>
      <c r="S144" s="5">
        <f>IFERROR(__xludf.DUMMYFUNCTION("SPLIT(R144,"","")"),143.0)</f>
        <v>143</v>
      </c>
      <c r="T144" s="5" t="str">
        <f>IFERROR(__xludf.DUMMYFUNCTION("""COMPUTED_VALUE"""),"Rusia")</f>
        <v>Rusia</v>
      </c>
      <c r="U144" s="5" t="str">
        <f>IFERROR(__xludf.DUMMYFUNCTION("""COMPUTED_VALUE"""),"Eropa/Asia")</f>
        <v>Eropa/Asia</v>
      </c>
    </row>
    <row r="145">
      <c r="A145" s="51" t="s">
        <v>4082</v>
      </c>
      <c r="B145" s="51"/>
      <c r="C145" s="51"/>
      <c r="D145" s="51" t="s">
        <v>4527</v>
      </c>
      <c r="E145" s="52"/>
      <c r="F145" s="52"/>
      <c r="R145" s="3" t="s">
        <v>4528</v>
      </c>
      <c r="S145" s="5">
        <f>IFERROR(__xludf.DUMMYFUNCTION("SPLIT(R145,"","")"),144.0)</f>
        <v>144</v>
      </c>
      <c r="T145" s="5" t="str">
        <f>IFERROR(__xludf.DUMMYFUNCTION("""COMPUTED_VALUE"""),"Rwanda")</f>
        <v>Rwanda</v>
      </c>
      <c r="U145" s="5" t="str">
        <f>IFERROR(__xludf.DUMMYFUNCTION("""COMPUTED_VALUE"""),"Afrika")</f>
        <v>Afrika</v>
      </c>
    </row>
    <row r="146">
      <c r="A146" s="49" t="s">
        <v>4103</v>
      </c>
      <c r="B146" s="49"/>
      <c r="C146" s="49"/>
      <c r="D146" s="49" t="s">
        <v>4529</v>
      </c>
      <c r="E146" s="50"/>
      <c r="F146" s="50"/>
      <c r="R146" s="3" t="s">
        <v>4530</v>
      </c>
      <c r="S146" s="5">
        <f>IFERROR(__xludf.DUMMYFUNCTION("SPLIT(R146,"","")"),145.0)</f>
        <v>145</v>
      </c>
      <c r="T146" s="5" t="str">
        <f>IFERROR(__xludf.DUMMYFUNCTION("""COMPUTED_VALUE"""),"Saint Kitts dan Nevis")</f>
        <v>Saint Kitts dan Nevis</v>
      </c>
      <c r="U146" s="5" t="str">
        <f>IFERROR(__xludf.DUMMYFUNCTION("""COMPUTED_VALUE"""),"Amerika Utara")</f>
        <v>Amerika Utara</v>
      </c>
    </row>
    <row r="147">
      <c r="A147" s="51" t="s">
        <v>487</v>
      </c>
      <c r="B147" s="51"/>
      <c r="C147" s="51"/>
      <c r="D147" s="51" t="s">
        <v>4531</v>
      </c>
      <c r="E147" s="52"/>
      <c r="F147" s="52"/>
      <c r="R147" s="3" t="s">
        <v>4532</v>
      </c>
      <c r="S147" s="5">
        <f>IFERROR(__xludf.DUMMYFUNCTION("SPLIT(R147,"","")"),146.0)</f>
        <v>146</v>
      </c>
      <c r="T147" s="5" t="str">
        <f>IFERROR(__xludf.DUMMYFUNCTION("""COMPUTED_VALUE"""),"Saint Lucia")</f>
        <v>Saint Lucia</v>
      </c>
      <c r="U147" s="5" t="str">
        <f>IFERROR(__xludf.DUMMYFUNCTION("""COMPUTED_VALUE"""),"Amerika Utara")</f>
        <v>Amerika Utara</v>
      </c>
    </row>
    <row r="148">
      <c r="A148" s="49" t="s">
        <v>487</v>
      </c>
      <c r="B148" s="49"/>
      <c r="C148" s="49"/>
      <c r="D148" s="49" t="s">
        <v>4533</v>
      </c>
      <c r="E148" s="50"/>
      <c r="F148" s="50"/>
      <c r="R148" s="3" t="s">
        <v>4534</v>
      </c>
      <c r="S148" s="5">
        <f>IFERROR(__xludf.DUMMYFUNCTION("SPLIT(R148,"","")"),147.0)</f>
        <v>147</v>
      </c>
      <c r="T148" s="5" t="str">
        <f>IFERROR(__xludf.DUMMYFUNCTION("""COMPUTED_VALUE"""),"Saint Vincent dan Grenadines")</f>
        <v>Saint Vincent dan Grenadines</v>
      </c>
      <c r="U148" s="5" t="str">
        <f>IFERROR(__xludf.DUMMYFUNCTION("""COMPUTED_VALUE"""),"Amerika Utara")</f>
        <v>Amerika Utara</v>
      </c>
    </row>
    <row r="149">
      <c r="A149" s="51" t="s">
        <v>4109</v>
      </c>
      <c r="B149" s="51"/>
      <c r="C149" s="51"/>
      <c r="D149" s="51" t="s">
        <v>4535</v>
      </c>
      <c r="E149" s="52"/>
      <c r="F149" s="52"/>
      <c r="R149" s="3" t="s">
        <v>4536</v>
      </c>
      <c r="S149" s="5">
        <f>IFERROR(__xludf.DUMMYFUNCTION("SPLIT(R149,"","")"),148.0)</f>
        <v>148</v>
      </c>
      <c r="T149" s="5" t="str">
        <f>IFERROR(__xludf.DUMMYFUNCTION("""COMPUTED_VALUE"""),"Samoa")</f>
        <v>Samoa</v>
      </c>
      <c r="U149" s="5" t="str">
        <f>IFERROR(__xludf.DUMMYFUNCTION("""COMPUTED_VALUE"""),"Oceania")</f>
        <v>Oceania</v>
      </c>
    </row>
    <row r="150">
      <c r="A150" s="49" t="s">
        <v>4119</v>
      </c>
      <c r="B150" s="49"/>
      <c r="C150" s="49"/>
      <c r="D150" s="49" t="s">
        <v>4119</v>
      </c>
      <c r="E150" s="50"/>
      <c r="F150" s="50"/>
      <c r="R150" s="3" t="s">
        <v>4537</v>
      </c>
      <c r="S150" s="5">
        <f>IFERROR(__xludf.DUMMYFUNCTION("SPLIT(R150,"","")"),149.0)</f>
        <v>149</v>
      </c>
      <c r="T150" s="5" t="str">
        <f>IFERROR(__xludf.DUMMYFUNCTION("""COMPUTED_VALUE"""),"San Marino")</f>
        <v>San Marino</v>
      </c>
      <c r="U150" s="5" t="str">
        <f>IFERROR(__xludf.DUMMYFUNCTION("""COMPUTED_VALUE"""),"Eropa")</f>
        <v>Eropa</v>
      </c>
    </row>
    <row r="151">
      <c r="A151" s="51" t="s">
        <v>487</v>
      </c>
      <c r="B151" s="51"/>
      <c r="C151" s="51"/>
      <c r="D151" s="51" t="s">
        <v>4538</v>
      </c>
      <c r="E151" s="52"/>
      <c r="F151" s="52"/>
      <c r="R151" s="3" t="s">
        <v>4539</v>
      </c>
      <c r="S151" s="5">
        <f>IFERROR(__xludf.DUMMYFUNCTION("SPLIT(R151,"","")"),150.0)</f>
        <v>150</v>
      </c>
      <c r="T151" s="5" t="str">
        <f>IFERROR(__xludf.DUMMYFUNCTION("""COMPUTED_VALUE"""),"Sao Tome dan Principe")</f>
        <v>Sao Tome dan Principe</v>
      </c>
      <c r="U151" s="5" t="str">
        <f>IFERROR(__xludf.DUMMYFUNCTION("""COMPUTED_VALUE"""),"Afrika")</f>
        <v>Afrika</v>
      </c>
    </row>
    <row r="152">
      <c r="A152" s="49" t="s">
        <v>487</v>
      </c>
      <c r="B152" s="49"/>
      <c r="C152" s="49"/>
      <c r="D152" s="49" t="s">
        <v>4540</v>
      </c>
      <c r="E152" s="50"/>
      <c r="F152" s="50"/>
      <c r="R152" s="3" t="s">
        <v>4541</v>
      </c>
      <c r="S152" s="5">
        <f>IFERROR(__xludf.DUMMYFUNCTION("SPLIT(R152,"","")"),151.0)</f>
        <v>151</v>
      </c>
      <c r="T152" s="5" t="str">
        <f>IFERROR(__xludf.DUMMYFUNCTION("""COMPUTED_VALUE"""),"Selandia Baru")</f>
        <v>Selandia Baru</v>
      </c>
      <c r="U152" s="5" t="str">
        <f>IFERROR(__xludf.DUMMYFUNCTION("""COMPUTED_VALUE"""),"Oceania")</f>
        <v>Oceania</v>
      </c>
    </row>
    <row r="153">
      <c r="A153" s="51" t="s">
        <v>487</v>
      </c>
      <c r="B153" s="51"/>
      <c r="C153" s="51"/>
      <c r="D153" s="51" t="s">
        <v>4542</v>
      </c>
      <c r="E153" s="52"/>
      <c r="F153" s="52"/>
      <c r="R153" s="3" t="s">
        <v>4543</v>
      </c>
      <c r="S153" s="5">
        <f>IFERROR(__xludf.DUMMYFUNCTION("SPLIT(R153,"","")"),152.0)</f>
        <v>152</v>
      </c>
      <c r="T153" s="5" t="str">
        <f>IFERROR(__xludf.DUMMYFUNCTION("""COMPUTED_VALUE"""),"Senegal")</f>
        <v>Senegal</v>
      </c>
      <c r="U153" s="5" t="str">
        <f>IFERROR(__xludf.DUMMYFUNCTION("""COMPUTED_VALUE"""),"Afrika")</f>
        <v>Afrika</v>
      </c>
    </row>
    <row r="154">
      <c r="A154" s="49" t="s">
        <v>4119</v>
      </c>
      <c r="B154" s="49"/>
      <c r="C154" s="49"/>
      <c r="D154" s="49" t="s">
        <v>4119</v>
      </c>
      <c r="E154" s="50"/>
      <c r="F154" s="50"/>
      <c r="R154" s="3" t="s">
        <v>4544</v>
      </c>
      <c r="S154" s="5">
        <f>IFERROR(__xludf.DUMMYFUNCTION("SPLIT(R154,"","")"),153.0)</f>
        <v>153</v>
      </c>
      <c r="T154" s="5" t="str">
        <f>IFERROR(__xludf.DUMMYFUNCTION("""COMPUTED_VALUE"""),"Serbia")</f>
        <v>Serbia</v>
      </c>
      <c r="U154" s="5" t="str">
        <f>IFERROR(__xludf.DUMMYFUNCTION("""COMPUTED_VALUE"""),"Eropa")</f>
        <v>Eropa</v>
      </c>
    </row>
    <row r="155">
      <c r="A155" s="51" t="s">
        <v>4103</v>
      </c>
      <c r="B155" s="51"/>
      <c r="C155" s="51"/>
      <c r="D155" s="51" t="s">
        <v>4545</v>
      </c>
      <c r="E155" s="52"/>
      <c r="F155" s="52"/>
      <c r="R155" s="3" t="s">
        <v>4546</v>
      </c>
      <c r="S155" s="5">
        <f>IFERROR(__xludf.DUMMYFUNCTION("SPLIT(R155,"","")"),154.0)</f>
        <v>154</v>
      </c>
      <c r="T155" s="5" t="str">
        <f>IFERROR(__xludf.DUMMYFUNCTION("""COMPUTED_VALUE"""),"Seychelles")</f>
        <v>Seychelles</v>
      </c>
      <c r="U155" s="5" t="str">
        <f>IFERROR(__xludf.DUMMYFUNCTION("""COMPUTED_VALUE"""),"Afrika")</f>
        <v>Afrika</v>
      </c>
    </row>
    <row r="156">
      <c r="A156" s="49" t="s">
        <v>487</v>
      </c>
      <c r="B156" s="49"/>
      <c r="C156" s="49"/>
      <c r="D156" s="49" t="s">
        <v>4547</v>
      </c>
      <c r="E156" s="50"/>
      <c r="F156" s="50"/>
      <c r="R156" s="3" t="s">
        <v>4548</v>
      </c>
      <c r="S156" s="5">
        <f>IFERROR(__xludf.DUMMYFUNCTION("SPLIT(R156,"","")"),155.0)</f>
        <v>155</v>
      </c>
      <c r="T156" s="5" t="str">
        <f>IFERROR(__xludf.DUMMYFUNCTION("""COMPUTED_VALUE"""),"Sierra Leone")</f>
        <v>Sierra Leone</v>
      </c>
      <c r="U156" s="5" t="str">
        <f>IFERROR(__xludf.DUMMYFUNCTION("""COMPUTED_VALUE"""),"Afrika")</f>
        <v>Afrika</v>
      </c>
    </row>
    <row r="157">
      <c r="A157" s="51" t="s">
        <v>4103</v>
      </c>
      <c r="B157" s="51"/>
      <c r="C157" s="51"/>
      <c r="D157" s="51" t="s">
        <v>4549</v>
      </c>
      <c r="E157" s="52"/>
      <c r="F157" s="52"/>
      <c r="R157" s="3" t="s">
        <v>4550</v>
      </c>
      <c r="S157" s="5">
        <f>IFERROR(__xludf.DUMMYFUNCTION("SPLIT(R157,"","")"),156.0)</f>
        <v>156</v>
      </c>
      <c r="T157" s="5" t="str">
        <f>IFERROR(__xludf.DUMMYFUNCTION("""COMPUTED_VALUE"""),"Singapura")</f>
        <v>Singapura</v>
      </c>
      <c r="U157" s="5" t="str">
        <f>IFERROR(__xludf.DUMMYFUNCTION("""COMPUTED_VALUE"""),"Asia")</f>
        <v>Asia</v>
      </c>
    </row>
    <row r="158">
      <c r="A158" s="49" t="s">
        <v>487</v>
      </c>
      <c r="B158" s="49"/>
      <c r="C158" s="49"/>
      <c r="D158" s="49" t="s">
        <v>4551</v>
      </c>
      <c r="E158" s="50"/>
      <c r="F158" s="50"/>
      <c r="R158" s="3" t="s">
        <v>4552</v>
      </c>
      <c r="S158" s="5">
        <f>IFERROR(__xludf.DUMMYFUNCTION("SPLIT(R158,"","")"),157.0)</f>
        <v>157</v>
      </c>
      <c r="T158" s="5" t="str">
        <f>IFERROR(__xludf.DUMMYFUNCTION("""COMPUTED_VALUE"""),"Siprus")</f>
        <v>Siprus</v>
      </c>
      <c r="U158" s="5" t="str">
        <f>IFERROR(__xludf.DUMMYFUNCTION("""COMPUTED_VALUE"""),"Eropa")</f>
        <v>Eropa</v>
      </c>
    </row>
    <row r="159">
      <c r="A159" s="51" t="s">
        <v>4553</v>
      </c>
      <c r="B159" s="51"/>
      <c r="C159" s="51"/>
      <c r="D159" s="51" t="s">
        <v>4554</v>
      </c>
      <c r="E159" s="52"/>
      <c r="F159" s="52"/>
      <c r="R159" s="3" t="s">
        <v>4555</v>
      </c>
      <c r="S159" s="5">
        <f>IFERROR(__xludf.DUMMYFUNCTION("SPLIT(R159,"","")"),158.0)</f>
        <v>158</v>
      </c>
      <c r="T159" s="5" t="str">
        <f>IFERROR(__xludf.DUMMYFUNCTION("""COMPUTED_VALUE"""),"Slovakia")</f>
        <v>Slovakia</v>
      </c>
      <c r="U159" s="5" t="str">
        <f>IFERROR(__xludf.DUMMYFUNCTION("""COMPUTED_VALUE"""),"Eropa")</f>
        <v>Eropa</v>
      </c>
    </row>
    <row r="160">
      <c r="A160" s="49" t="s">
        <v>4103</v>
      </c>
      <c r="B160" s="49"/>
      <c r="C160" s="49"/>
      <c r="D160" s="49" t="s">
        <v>4556</v>
      </c>
      <c r="E160" s="50"/>
      <c r="F160" s="50"/>
      <c r="R160" s="3" t="s">
        <v>4557</v>
      </c>
      <c r="S160" s="5">
        <f>IFERROR(__xludf.DUMMYFUNCTION("SPLIT(R160,"","")"),159.0)</f>
        <v>159</v>
      </c>
      <c r="T160" s="5" t="str">
        <f>IFERROR(__xludf.DUMMYFUNCTION("""COMPUTED_VALUE"""),"Slovenia")</f>
        <v>Slovenia</v>
      </c>
      <c r="U160" s="5" t="str">
        <f>IFERROR(__xludf.DUMMYFUNCTION("""COMPUTED_VALUE"""),"Eropa")</f>
        <v>Eropa</v>
      </c>
    </row>
    <row r="161">
      <c r="A161" s="51" t="s">
        <v>487</v>
      </c>
      <c r="B161" s="51"/>
      <c r="C161" s="51"/>
      <c r="D161" s="51" t="s">
        <v>4558</v>
      </c>
      <c r="E161" s="52"/>
      <c r="F161" s="52"/>
      <c r="R161" s="3" t="s">
        <v>4559</v>
      </c>
      <c r="S161" s="5">
        <f>IFERROR(__xludf.DUMMYFUNCTION("SPLIT(R161,"","")"),160.0)</f>
        <v>160</v>
      </c>
      <c r="T161" s="5" t="str">
        <f>IFERROR(__xludf.DUMMYFUNCTION("""COMPUTED_VALUE"""),"Solomon (Kepulauan)")</f>
        <v>Solomon (Kepulauan)</v>
      </c>
      <c r="U161" s="5" t="str">
        <f>IFERROR(__xludf.DUMMYFUNCTION("""COMPUTED_VALUE"""),"Oceania")</f>
        <v>Oceania</v>
      </c>
    </row>
    <row r="162">
      <c r="A162" s="49" t="s">
        <v>4224</v>
      </c>
      <c r="B162" s="49"/>
      <c r="C162" s="49"/>
      <c r="D162" s="49" t="s">
        <v>4560</v>
      </c>
      <c r="E162" s="50"/>
      <c r="F162" s="50"/>
      <c r="R162" s="3" t="s">
        <v>4561</v>
      </c>
      <c r="S162" s="5">
        <f>IFERROR(__xludf.DUMMYFUNCTION("SPLIT(R162,"","")"),161.0)</f>
        <v>161</v>
      </c>
      <c r="T162" s="5" t="str">
        <f>IFERROR(__xludf.DUMMYFUNCTION("""COMPUTED_VALUE"""),"Somalia")</f>
        <v>Somalia</v>
      </c>
      <c r="U162" s="5" t="str">
        <f>IFERROR(__xludf.DUMMYFUNCTION("""COMPUTED_VALUE"""),"Afrika")</f>
        <v>Afrika</v>
      </c>
    </row>
    <row r="163">
      <c r="A163" s="51" t="s">
        <v>487</v>
      </c>
      <c r="B163" s="51"/>
      <c r="C163" s="51"/>
      <c r="D163" s="51" t="s">
        <v>4562</v>
      </c>
      <c r="E163" s="52"/>
      <c r="F163" s="52"/>
      <c r="R163" s="3" t="s">
        <v>4563</v>
      </c>
      <c r="S163" s="5">
        <f>IFERROR(__xludf.DUMMYFUNCTION("SPLIT(R163,"","")"),162.0)</f>
        <v>162</v>
      </c>
      <c r="T163" s="5" t="str">
        <f>IFERROR(__xludf.DUMMYFUNCTION("""COMPUTED_VALUE"""),"Spanyol")</f>
        <v>Spanyol</v>
      </c>
      <c r="U163" s="5" t="str">
        <f>IFERROR(__xludf.DUMMYFUNCTION("""COMPUTED_VALUE"""),"Eropa")</f>
        <v>Eropa</v>
      </c>
    </row>
    <row r="164">
      <c r="A164" s="49" t="s">
        <v>487</v>
      </c>
      <c r="B164" s="49"/>
      <c r="C164" s="49"/>
      <c r="D164" s="49" t="s">
        <v>4564</v>
      </c>
      <c r="E164" s="50"/>
      <c r="F164" s="50"/>
      <c r="R164" s="3" t="s">
        <v>4565</v>
      </c>
      <c r="S164" s="5">
        <f>IFERROR(__xludf.DUMMYFUNCTION("SPLIT(R164,"","")"),163.0)</f>
        <v>163</v>
      </c>
      <c r="T164" s="5" t="str">
        <f>IFERROR(__xludf.DUMMYFUNCTION("""COMPUTED_VALUE"""),"Sri Lanka")</f>
        <v>Sri Lanka</v>
      </c>
      <c r="U164" s="5" t="str">
        <f>IFERROR(__xludf.DUMMYFUNCTION("""COMPUTED_VALUE"""),"Asia")</f>
        <v>Asia</v>
      </c>
    </row>
    <row r="165">
      <c r="A165" s="51" t="s">
        <v>487</v>
      </c>
      <c r="B165" s="51"/>
      <c r="C165" s="51"/>
      <c r="D165" s="51" t="s">
        <v>4566</v>
      </c>
      <c r="E165" s="52"/>
      <c r="F165" s="52"/>
      <c r="R165" s="3" t="s">
        <v>4567</v>
      </c>
      <c r="S165" s="5">
        <f>IFERROR(__xludf.DUMMYFUNCTION("SPLIT(R165,"","")"),164.0)</f>
        <v>164</v>
      </c>
      <c r="T165" s="5" t="str">
        <f>IFERROR(__xludf.DUMMYFUNCTION("""COMPUTED_VALUE"""),"Sudan")</f>
        <v>Sudan</v>
      </c>
      <c r="U165" s="5" t="str">
        <f>IFERROR(__xludf.DUMMYFUNCTION("""COMPUTED_VALUE"""),"Afrika")</f>
        <v>Afrika</v>
      </c>
    </row>
    <row r="166">
      <c r="A166" s="49" t="s">
        <v>487</v>
      </c>
      <c r="B166" s="49"/>
      <c r="C166" s="49"/>
      <c r="D166" s="49" t="s">
        <v>4568</v>
      </c>
      <c r="E166" s="50"/>
      <c r="F166" s="50"/>
      <c r="R166" s="3" t="s">
        <v>4569</v>
      </c>
      <c r="S166" s="5">
        <f>IFERROR(__xludf.DUMMYFUNCTION("SPLIT(R166,"","")"),165.0)</f>
        <v>165</v>
      </c>
      <c r="T166" s="5" t="str">
        <f>IFERROR(__xludf.DUMMYFUNCTION("""COMPUTED_VALUE"""),"Sudan Selatan")</f>
        <v>Sudan Selatan</v>
      </c>
      <c r="U166" s="5" t="str">
        <f>IFERROR(__xludf.DUMMYFUNCTION("""COMPUTED_VALUE"""),"Afrika")</f>
        <v>Afrika</v>
      </c>
    </row>
    <row r="167">
      <c r="A167" s="51" t="s">
        <v>4119</v>
      </c>
      <c r="B167" s="51"/>
      <c r="C167" s="51"/>
      <c r="D167" s="51" t="s">
        <v>4119</v>
      </c>
      <c r="E167" s="52"/>
      <c r="F167" s="52"/>
      <c r="R167" s="3" t="s">
        <v>4570</v>
      </c>
      <c r="S167" s="5">
        <f>IFERROR(__xludf.DUMMYFUNCTION("SPLIT(R167,"","")"),166.0)</f>
        <v>166</v>
      </c>
      <c r="T167" s="5" t="str">
        <f>IFERROR(__xludf.DUMMYFUNCTION("""COMPUTED_VALUE"""),"Suriah")</f>
        <v>Suriah</v>
      </c>
      <c r="U167" s="5" t="str">
        <f>IFERROR(__xludf.DUMMYFUNCTION("""COMPUTED_VALUE"""),"Asia")</f>
        <v>Asia</v>
      </c>
    </row>
    <row r="168">
      <c r="A168" s="49" t="s">
        <v>487</v>
      </c>
      <c r="B168" s="49"/>
      <c r="C168" s="49"/>
      <c r="D168" s="49" t="s">
        <v>4571</v>
      </c>
      <c r="E168" s="50"/>
      <c r="F168" s="50"/>
      <c r="R168" s="3" t="s">
        <v>4572</v>
      </c>
      <c r="S168" s="5">
        <f>IFERROR(__xludf.DUMMYFUNCTION("SPLIT(R168,"","")"),167.0)</f>
        <v>167</v>
      </c>
      <c r="T168" s="5" t="str">
        <f>IFERROR(__xludf.DUMMYFUNCTION("""COMPUTED_VALUE"""),"Suriname")</f>
        <v>Suriname</v>
      </c>
      <c r="U168" s="5" t="str">
        <f>IFERROR(__xludf.DUMMYFUNCTION("""COMPUTED_VALUE"""),"Amerika Selatan")</f>
        <v>Amerika Selatan</v>
      </c>
    </row>
    <row r="169">
      <c r="A169" s="51" t="s">
        <v>4103</v>
      </c>
      <c r="B169" s="51"/>
      <c r="C169" s="51"/>
      <c r="D169" s="51" t="s">
        <v>4573</v>
      </c>
      <c r="E169" s="52"/>
      <c r="F169" s="52"/>
      <c r="R169" s="3" t="s">
        <v>4574</v>
      </c>
      <c r="S169" s="5">
        <f>IFERROR(__xludf.DUMMYFUNCTION("SPLIT(R169,"","")"),168.0)</f>
        <v>168</v>
      </c>
      <c r="T169" s="5" t="str">
        <f>IFERROR(__xludf.DUMMYFUNCTION("""COMPUTED_VALUE"""),"Swedia")</f>
        <v>Swedia</v>
      </c>
      <c r="U169" s="5" t="str">
        <f>IFERROR(__xludf.DUMMYFUNCTION("""COMPUTED_VALUE"""),"Eropa")</f>
        <v>Eropa</v>
      </c>
    </row>
    <row r="170">
      <c r="A170" s="49" t="s">
        <v>4119</v>
      </c>
      <c r="B170" s="49"/>
      <c r="C170" s="49"/>
      <c r="D170" s="49" t="s">
        <v>4119</v>
      </c>
      <c r="E170" s="50"/>
      <c r="F170" s="50"/>
      <c r="R170" s="3" t="s">
        <v>4575</v>
      </c>
      <c r="S170" s="5">
        <f>IFERROR(__xludf.DUMMYFUNCTION("SPLIT(R170,"","")"),169.0)</f>
        <v>169</v>
      </c>
      <c r="T170" s="5" t="str">
        <f>IFERROR(__xludf.DUMMYFUNCTION("""COMPUTED_VALUE"""),"Swiss")</f>
        <v>Swiss</v>
      </c>
      <c r="U170" s="5" t="str">
        <f>IFERROR(__xludf.DUMMYFUNCTION("""COMPUTED_VALUE"""),"Eropa")</f>
        <v>Eropa</v>
      </c>
    </row>
    <row r="171">
      <c r="A171" s="51" t="s">
        <v>487</v>
      </c>
      <c r="B171" s="51"/>
      <c r="C171" s="51"/>
      <c r="D171" s="51" t="s">
        <v>4576</v>
      </c>
      <c r="E171" s="52"/>
      <c r="F171" s="52"/>
      <c r="R171" s="3" t="s">
        <v>4577</v>
      </c>
      <c r="S171" s="5">
        <f>IFERROR(__xludf.DUMMYFUNCTION("SPLIT(R171,"","")"),170.0)</f>
        <v>170</v>
      </c>
      <c r="T171" s="5" t="str">
        <f>IFERROR(__xludf.DUMMYFUNCTION("""COMPUTED_VALUE"""),"Tajikistan")</f>
        <v>Tajikistan</v>
      </c>
      <c r="U171" s="5" t="str">
        <f>IFERROR(__xludf.DUMMYFUNCTION("""COMPUTED_VALUE"""),"Asia")</f>
        <v>Asia</v>
      </c>
    </row>
    <row r="172">
      <c r="A172" s="49" t="s">
        <v>487</v>
      </c>
      <c r="B172" s="49"/>
      <c r="C172" s="49"/>
      <c r="D172" s="49" t="s">
        <v>4578</v>
      </c>
      <c r="E172" s="50"/>
      <c r="F172" s="50"/>
      <c r="R172" s="3" t="s">
        <v>4579</v>
      </c>
      <c r="S172" s="5">
        <f>IFERROR(__xludf.DUMMYFUNCTION("SPLIT(R172,"","")"),171.0)</f>
        <v>171</v>
      </c>
      <c r="T172" s="5" t="str">
        <f>IFERROR(__xludf.DUMMYFUNCTION("""COMPUTED_VALUE"""),"Tanzania")</f>
        <v>Tanzania</v>
      </c>
      <c r="U172" s="5" t="str">
        <f>IFERROR(__xludf.DUMMYFUNCTION("""COMPUTED_VALUE"""),"Afrika")</f>
        <v>Afrika</v>
      </c>
    </row>
    <row r="173">
      <c r="A173" s="51" t="s">
        <v>487</v>
      </c>
      <c r="B173" s="51"/>
      <c r="C173" s="51"/>
      <c r="D173" s="51" t="s">
        <v>4580</v>
      </c>
      <c r="E173" s="52"/>
      <c r="F173" s="52"/>
      <c r="R173" s="3" t="s">
        <v>4581</v>
      </c>
      <c r="S173" s="5">
        <f>IFERROR(__xludf.DUMMYFUNCTION("SPLIT(R173,"","")"),172.0)</f>
        <v>172</v>
      </c>
      <c r="T173" s="5" t="str">
        <f>IFERROR(__xludf.DUMMYFUNCTION("""COMPUTED_VALUE"""),"Thailand")</f>
        <v>Thailand</v>
      </c>
      <c r="U173" s="5" t="str">
        <f>IFERROR(__xludf.DUMMYFUNCTION("""COMPUTED_VALUE"""),"Asia")</f>
        <v>Asia</v>
      </c>
    </row>
    <row r="174">
      <c r="A174" s="49" t="s">
        <v>4582</v>
      </c>
      <c r="B174" s="49"/>
      <c r="C174" s="49"/>
      <c r="D174" s="49" t="s">
        <v>4583</v>
      </c>
      <c r="E174" s="50"/>
      <c r="F174" s="50"/>
      <c r="R174" s="3" t="s">
        <v>4584</v>
      </c>
      <c r="S174" s="5">
        <f>IFERROR(__xludf.DUMMYFUNCTION("SPLIT(R174,"","")"),173.0)</f>
        <v>173</v>
      </c>
      <c r="T174" s="5" t="str">
        <f>IFERROR(__xludf.DUMMYFUNCTION("""COMPUTED_VALUE"""),"Timor-Leste")</f>
        <v>Timor-Leste</v>
      </c>
      <c r="U174" s="5" t="str">
        <f>IFERROR(__xludf.DUMMYFUNCTION("""COMPUTED_VALUE"""),"Asia")</f>
        <v>Asia</v>
      </c>
    </row>
    <row r="175">
      <c r="A175" s="51" t="s">
        <v>4119</v>
      </c>
      <c r="B175" s="51"/>
      <c r="C175" s="51"/>
      <c r="D175" s="51" t="s">
        <v>4119</v>
      </c>
      <c r="E175" s="52"/>
      <c r="F175" s="52"/>
      <c r="R175" s="3" t="s">
        <v>4585</v>
      </c>
      <c r="S175" s="5">
        <f>IFERROR(__xludf.DUMMYFUNCTION("SPLIT(R175,"","")"),174.0)</f>
        <v>174</v>
      </c>
      <c r="T175" s="5" t="str">
        <f>IFERROR(__xludf.DUMMYFUNCTION("""COMPUTED_VALUE"""),"Togo")</f>
        <v>Togo</v>
      </c>
      <c r="U175" s="5" t="str">
        <f>IFERROR(__xludf.DUMMYFUNCTION("""COMPUTED_VALUE"""),"Afrika")</f>
        <v>Afrika</v>
      </c>
    </row>
    <row r="176">
      <c r="A176" s="49" t="s">
        <v>487</v>
      </c>
      <c r="B176" s="49"/>
      <c r="C176" s="49"/>
      <c r="D176" s="49" t="s">
        <v>4586</v>
      </c>
      <c r="E176" s="50"/>
      <c r="F176" s="50"/>
      <c r="R176" s="3" t="s">
        <v>4587</v>
      </c>
      <c r="S176" s="5">
        <f>IFERROR(__xludf.DUMMYFUNCTION("SPLIT(R176,"","")"),175.0)</f>
        <v>175</v>
      </c>
      <c r="T176" s="5" t="str">
        <f>IFERROR(__xludf.DUMMYFUNCTION("""COMPUTED_VALUE"""),"Tonga")</f>
        <v>Tonga</v>
      </c>
      <c r="U176" s="5" t="str">
        <f>IFERROR(__xludf.DUMMYFUNCTION("""COMPUTED_VALUE"""),"Oceania")</f>
        <v>Oceania</v>
      </c>
    </row>
    <row r="177">
      <c r="A177" s="51" t="s">
        <v>487</v>
      </c>
      <c r="B177" s="51"/>
      <c r="C177" s="51"/>
      <c r="D177" s="51" t="s">
        <v>4588</v>
      </c>
      <c r="E177" s="52"/>
      <c r="F177" s="52"/>
      <c r="R177" s="3" t="s">
        <v>4589</v>
      </c>
      <c r="S177" s="5">
        <f>IFERROR(__xludf.DUMMYFUNCTION("SPLIT(R177,"","")"),176.0)</f>
        <v>176</v>
      </c>
      <c r="T177" s="5" t="str">
        <f>IFERROR(__xludf.DUMMYFUNCTION("""COMPUTED_VALUE"""),"Trinidad dan Tobago")</f>
        <v>Trinidad dan Tobago</v>
      </c>
      <c r="U177" s="5" t="str">
        <f>IFERROR(__xludf.DUMMYFUNCTION("""COMPUTED_VALUE"""),"Amerika Utara")</f>
        <v>Amerika Utara</v>
      </c>
    </row>
    <row r="178">
      <c r="A178" s="49" t="s">
        <v>487</v>
      </c>
      <c r="B178" s="49"/>
      <c r="C178" s="49"/>
      <c r="D178" s="49" t="s">
        <v>4590</v>
      </c>
      <c r="E178" s="50"/>
      <c r="F178" s="50"/>
      <c r="R178" s="3" t="s">
        <v>4591</v>
      </c>
      <c r="S178" s="5">
        <f>IFERROR(__xludf.DUMMYFUNCTION("SPLIT(R178,"","")"),177.0)</f>
        <v>177</v>
      </c>
      <c r="T178" s="5" t="str">
        <f>IFERROR(__xludf.DUMMYFUNCTION("""COMPUTED_VALUE"""),"Tunisia")</f>
        <v>Tunisia</v>
      </c>
      <c r="U178" s="5" t="str">
        <f>IFERROR(__xludf.DUMMYFUNCTION("""COMPUTED_VALUE"""),"Afrika")</f>
        <v>Afrika</v>
      </c>
    </row>
    <row r="179">
      <c r="A179" s="51" t="s">
        <v>487</v>
      </c>
      <c r="B179" s="51"/>
      <c r="C179" s="51"/>
      <c r="D179" s="51" t="s">
        <v>4592</v>
      </c>
      <c r="E179" s="52"/>
      <c r="F179" s="52"/>
      <c r="R179" s="3" t="s">
        <v>4593</v>
      </c>
      <c r="S179" s="5">
        <f>IFERROR(__xludf.DUMMYFUNCTION("SPLIT(R179,"","")"),178.0)</f>
        <v>178</v>
      </c>
      <c r="T179" s="5" t="str">
        <f>IFERROR(__xludf.DUMMYFUNCTION("""COMPUTED_VALUE"""),"Turki")</f>
        <v>Turki</v>
      </c>
      <c r="U179" s="5" t="str">
        <f>IFERROR(__xludf.DUMMYFUNCTION("""COMPUTED_VALUE"""),"Asia/Eropa")</f>
        <v>Asia/Eropa</v>
      </c>
    </row>
    <row r="180">
      <c r="A180" s="49" t="s">
        <v>4103</v>
      </c>
      <c r="B180" s="49"/>
      <c r="C180" s="49"/>
      <c r="D180" s="49" t="s">
        <v>4594</v>
      </c>
      <c r="E180" s="50"/>
      <c r="F180" s="50"/>
      <c r="R180" s="3" t="s">
        <v>4595</v>
      </c>
      <c r="S180" s="5">
        <f>IFERROR(__xludf.DUMMYFUNCTION("SPLIT(R180,"","")"),179.0)</f>
        <v>179</v>
      </c>
      <c r="T180" s="5" t="str">
        <f>IFERROR(__xludf.DUMMYFUNCTION("""COMPUTED_VALUE"""),"Turkmenistan")</f>
        <v>Turkmenistan</v>
      </c>
      <c r="U180" s="5" t="str">
        <f>IFERROR(__xludf.DUMMYFUNCTION("""COMPUTED_VALUE"""),"Asia")</f>
        <v>Asia</v>
      </c>
    </row>
    <row r="181">
      <c r="A181" s="51" t="s">
        <v>4103</v>
      </c>
      <c r="B181" s="51"/>
      <c r="C181" s="51"/>
      <c r="D181" s="51" t="s">
        <v>4596</v>
      </c>
      <c r="E181" s="52"/>
      <c r="F181" s="52"/>
      <c r="R181" s="3" t="s">
        <v>4597</v>
      </c>
      <c r="S181" s="5">
        <f>IFERROR(__xludf.DUMMYFUNCTION("SPLIT(R181,"","")"),180.0)</f>
        <v>180</v>
      </c>
      <c r="T181" s="5" t="str">
        <f>IFERROR(__xludf.DUMMYFUNCTION("""COMPUTED_VALUE"""),"Tuvalu")</f>
        <v>Tuvalu</v>
      </c>
      <c r="U181" s="5" t="str">
        <f>IFERROR(__xludf.DUMMYFUNCTION("""COMPUTED_VALUE"""),"Oceania")</f>
        <v>Oceania</v>
      </c>
    </row>
    <row r="182">
      <c r="A182" s="49" t="s">
        <v>4103</v>
      </c>
      <c r="B182" s="49"/>
      <c r="C182" s="49"/>
      <c r="D182" s="49" t="s">
        <v>4598</v>
      </c>
      <c r="E182" s="50"/>
      <c r="F182" s="50"/>
      <c r="R182" s="3" t="s">
        <v>4599</v>
      </c>
      <c r="S182" s="5">
        <f>IFERROR(__xludf.DUMMYFUNCTION("SPLIT(R182,"","")"),181.0)</f>
        <v>181</v>
      </c>
      <c r="T182" s="5" t="str">
        <f>IFERROR(__xludf.DUMMYFUNCTION("""COMPUTED_VALUE"""),"Uganda")</f>
        <v>Uganda</v>
      </c>
      <c r="U182" s="5" t="str">
        <f>IFERROR(__xludf.DUMMYFUNCTION("""COMPUTED_VALUE"""),"Afrika")</f>
        <v>Afrika</v>
      </c>
    </row>
    <row r="183">
      <c r="A183" s="51" t="s">
        <v>4103</v>
      </c>
      <c r="B183" s="51"/>
      <c r="C183" s="51"/>
      <c r="D183" s="51" t="s">
        <v>4600</v>
      </c>
      <c r="E183" s="52"/>
      <c r="F183" s="52"/>
      <c r="R183" s="3" t="s">
        <v>4601</v>
      </c>
      <c r="S183" s="5">
        <f>IFERROR(__xludf.DUMMYFUNCTION("SPLIT(R183,"","")"),182.0)</f>
        <v>182</v>
      </c>
      <c r="T183" s="5" t="str">
        <f>IFERROR(__xludf.DUMMYFUNCTION("""COMPUTED_VALUE"""),"Ukraina")</f>
        <v>Ukraina</v>
      </c>
      <c r="U183" s="5" t="str">
        <f>IFERROR(__xludf.DUMMYFUNCTION("""COMPUTED_VALUE"""),"Eropa")</f>
        <v>Eropa</v>
      </c>
    </row>
    <row r="184">
      <c r="A184" s="49" t="s">
        <v>487</v>
      </c>
      <c r="B184" s="49"/>
      <c r="C184" s="49"/>
      <c r="D184" s="49" t="s">
        <v>4602</v>
      </c>
      <c r="E184" s="50"/>
      <c r="F184" s="50"/>
      <c r="R184" s="3" t="s">
        <v>4603</v>
      </c>
      <c r="S184" s="5">
        <f>IFERROR(__xludf.DUMMYFUNCTION("SPLIT(R184,"","")"),183.0)</f>
        <v>183</v>
      </c>
      <c r="T184" s="5" t="str">
        <f>IFERROR(__xludf.DUMMYFUNCTION("""COMPUTED_VALUE"""),"Uni Emirat Arab")</f>
        <v>Uni Emirat Arab</v>
      </c>
      <c r="U184" s="5" t="str">
        <f>IFERROR(__xludf.DUMMYFUNCTION("""COMPUTED_VALUE"""),"Asia")</f>
        <v>Asia</v>
      </c>
    </row>
    <row r="185">
      <c r="A185" s="51" t="s">
        <v>4103</v>
      </c>
      <c r="B185" s="51"/>
      <c r="C185" s="51"/>
      <c r="D185" s="51" t="s">
        <v>4604</v>
      </c>
      <c r="E185" s="52"/>
      <c r="F185" s="52"/>
      <c r="R185" s="3" t="s">
        <v>4605</v>
      </c>
      <c r="S185" s="5">
        <f>IFERROR(__xludf.DUMMYFUNCTION("SPLIT(R185,"","")"),184.0)</f>
        <v>184</v>
      </c>
      <c r="T185" s="5" t="str">
        <f>IFERROR(__xludf.DUMMYFUNCTION("""COMPUTED_VALUE"""),"Uruguay")</f>
        <v>Uruguay</v>
      </c>
      <c r="U185" s="5" t="str">
        <f>IFERROR(__xludf.DUMMYFUNCTION("""COMPUTED_VALUE"""),"Amerika Selatan")</f>
        <v>Amerika Selatan</v>
      </c>
    </row>
    <row r="186">
      <c r="A186" s="49" t="s">
        <v>487</v>
      </c>
      <c r="B186" s="49"/>
      <c r="C186" s="49"/>
      <c r="D186" s="49" t="s">
        <v>4606</v>
      </c>
      <c r="E186" s="50"/>
      <c r="F186" s="50"/>
      <c r="R186" s="3" t="s">
        <v>4607</v>
      </c>
      <c r="S186" s="5">
        <f>IFERROR(__xludf.DUMMYFUNCTION("SPLIT(R186,"","")"),185.0)</f>
        <v>185</v>
      </c>
      <c r="T186" s="5" t="str">
        <f>IFERROR(__xludf.DUMMYFUNCTION("""COMPUTED_VALUE"""),"Uzbekistan")</f>
        <v>Uzbekistan</v>
      </c>
      <c r="U186" s="5" t="str">
        <f>IFERROR(__xludf.DUMMYFUNCTION("""COMPUTED_VALUE"""),"Asia")</f>
        <v>Asia</v>
      </c>
    </row>
    <row r="187">
      <c r="A187" s="51" t="s">
        <v>487</v>
      </c>
      <c r="B187" s="51"/>
      <c r="C187" s="51"/>
      <c r="D187" s="51" t="s">
        <v>4608</v>
      </c>
      <c r="E187" s="52"/>
      <c r="F187" s="52"/>
      <c r="R187" s="3" t="s">
        <v>4609</v>
      </c>
      <c r="S187" s="5">
        <f>IFERROR(__xludf.DUMMYFUNCTION("SPLIT(R187,"","")"),186.0)</f>
        <v>186</v>
      </c>
      <c r="T187" s="5" t="str">
        <f>IFERROR(__xludf.DUMMYFUNCTION("""COMPUTED_VALUE"""),"Vanuatu")</f>
        <v>Vanuatu</v>
      </c>
      <c r="U187" s="5" t="str">
        <f>IFERROR(__xludf.DUMMYFUNCTION("""COMPUTED_VALUE"""),"Oceania")</f>
        <v>Oceania</v>
      </c>
    </row>
    <row r="188">
      <c r="A188" s="49" t="s">
        <v>487</v>
      </c>
      <c r="B188" s="49"/>
      <c r="C188" s="49"/>
      <c r="D188" s="49" t="s">
        <v>4610</v>
      </c>
      <c r="E188" s="50"/>
      <c r="F188" s="50"/>
      <c r="R188" s="3" t="s">
        <v>4611</v>
      </c>
      <c r="S188" s="5">
        <f>IFERROR(__xludf.DUMMYFUNCTION("SPLIT(R188,"","")"),187.0)</f>
        <v>187</v>
      </c>
      <c r="T188" s="5" t="str">
        <f>IFERROR(__xludf.DUMMYFUNCTION("""COMPUTED_VALUE"""),"Vatikan")</f>
        <v>Vatikan</v>
      </c>
      <c r="U188" s="5" t="str">
        <f>IFERROR(__xludf.DUMMYFUNCTION("""COMPUTED_VALUE"""),"Eropa")</f>
        <v>Eropa</v>
      </c>
    </row>
    <row r="189">
      <c r="A189" s="51" t="s">
        <v>487</v>
      </c>
      <c r="B189" s="51"/>
      <c r="C189" s="51"/>
      <c r="D189" s="51" t="s">
        <v>4612</v>
      </c>
      <c r="E189" s="52"/>
      <c r="F189" s="52"/>
      <c r="R189" s="3" t="s">
        <v>4613</v>
      </c>
      <c r="S189" s="5">
        <f>IFERROR(__xludf.DUMMYFUNCTION("SPLIT(R189,"","")"),188.0)</f>
        <v>188</v>
      </c>
      <c r="T189" s="5" t="str">
        <f>IFERROR(__xludf.DUMMYFUNCTION("""COMPUTED_VALUE"""),"Venezuela")</f>
        <v>Venezuela</v>
      </c>
      <c r="U189" s="5" t="str">
        <f>IFERROR(__xludf.DUMMYFUNCTION("""COMPUTED_VALUE"""),"Amerika Selatan")</f>
        <v>Amerika Selatan</v>
      </c>
    </row>
    <row r="190">
      <c r="A190" s="49" t="s">
        <v>487</v>
      </c>
      <c r="B190" s="49"/>
      <c r="C190" s="49"/>
      <c r="D190" s="49" t="s">
        <v>4614</v>
      </c>
      <c r="E190" s="50"/>
      <c r="F190" s="50"/>
      <c r="R190" s="3" t="s">
        <v>4615</v>
      </c>
      <c r="S190" s="5">
        <f>IFERROR(__xludf.DUMMYFUNCTION("SPLIT(R190,"","")"),189.0)</f>
        <v>189</v>
      </c>
      <c r="T190" s="5" t="str">
        <f>IFERROR(__xludf.DUMMYFUNCTION("""COMPUTED_VALUE"""),"Vietnam")</f>
        <v>Vietnam</v>
      </c>
      <c r="U190" s="5" t="str">
        <f>IFERROR(__xludf.DUMMYFUNCTION("""COMPUTED_VALUE"""),"Asia")</f>
        <v>Asia</v>
      </c>
    </row>
    <row r="191">
      <c r="A191" s="51" t="s">
        <v>487</v>
      </c>
      <c r="B191" s="51"/>
      <c r="C191" s="51"/>
      <c r="D191" s="51" t="s">
        <v>4616</v>
      </c>
      <c r="E191" s="52"/>
      <c r="F191" s="52"/>
      <c r="R191" s="3" t="s">
        <v>4617</v>
      </c>
      <c r="S191" s="5">
        <f>IFERROR(__xludf.DUMMYFUNCTION("SPLIT(R191,"","")"),190.0)</f>
        <v>190</v>
      </c>
      <c r="T191" s="5" t="str">
        <f>IFERROR(__xludf.DUMMYFUNCTION("""COMPUTED_VALUE"""),"Yaman")</f>
        <v>Yaman</v>
      </c>
      <c r="U191" s="5" t="str">
        <f>IFERROR(__xludf.DUMMYFUNCTION("""COMPUTED_VALUE"""),"Asia")</f>
        <v>Asia</v>
      </c>
    </row>
    <row r="192">
      <c r="A192" s="49" t="s">
        <v>487</v>
      </c>
      <c r="B192" s="49"/>
      <c r="C192" s="49"/>
      <c r="D192" s="49" t="s">
        <v>4618</v>
      </c>
      <c r="E192" s="50"/>
      <c r="F192" s="50"/>
      <c r="R192" s="3" t="s">
        <v>4619</v>
      </c>
      <c r="S192" s="5">
        <f>IFERROR(__xludf.DUMMYFUNCTION("SPLIT(R192,"","")"),191.0)</f>
        <v>191</v>
      </c>
      <c r="T192" s="5" t="str">
        <f>IFERROR(__xludf.DUMMYFUNCTION("""COMPUTED_VALUE"""),"Yordania")</f>
        <v>Yordania</v>
      </c>
      <c r="U192" s="5" t="str">
        <f>IFERROR(__xludf.DUMMYFUNCTION("""COMPUTED_VALUE"""),"Asia")</f>
        <v>Asia</v>
      </c>
    </row>
    <row r="193">
      <c r="A193" s="51" t="s">
        <v>487</v>
      </c>
      <c r="B193" s="51"/>
      <c r="C193" s="51"/>
      <c r="D193" s="51" t="s">
        <v>4620</v>
      </c>
      <c r="E193" s="52"/>
      <c r="F193" s="52"/>
      <c r="R193" s="3" t="s">
        <v>4621</v>
      </c>
      <c r="S193" s="5">
        <f>IFERROR(__xludf.DUMMYFUNCTION("SPLIT(R193,"","")"),192.0)</f>
        <v>192</v>
      </c>
      <c r="T193" s="5" t="str">
        <f>IFERROR(__xludf.DUMMYFUNCTION("""COMPUTED_VALUE"""),"Yunani")</f>
        <v>Yunani</v>
      </c>
      <c r="U193" s="5" t="str">
        <f>IFERROR(__xludf.DUMMYFUNCTION("""COMPUTED_VALUE"""),"Eropa")</f>
        <v>Eropa</v>
      </c>
    </row>
    <row r="194">
      <c r="A194" s="49" t="s">
        <v>487</v>
      </c>
      <c r="B194" s="49"/>
      <c r="C194" s="49"/>
      <c r="D194" s="49" t="s">
        <v>4622</v>
      </c>
      <c r="E194" s="50"/>
      <c r="F194" s="50"/>
      <c r="R194" s="3" t="s">
        <v>4623</v>
      </c>
      <c r="S194" s="5">
        <f>IFERROR(__xludf.DUMMYFUNCTION("SPLIT(R194,"","")"),193.0)</f>
        <v>193</v>
      </c>
      <c r="T194" s="5" t="str">
        <f>IFERROR(__xludf.DUMMYFUNCTION("""COMPUTED_VALUE"""),"Zambia")</f>
        <v>Zambia</v>
      </c>
      <c r="U194" s="5" t="str">
        <f>IFERROR(__xludf.DUMMYFUNCTION("""COMPUTED_VALUE"""),"Afrika")</f>
        <v>Afrika</v>
      </c>
    </row>
    <row r="195">
      <c r="A195" s="51" t="s">
        <v>487</v>
      </c>
      <c r="B195" s="51"/>
      <c r="C195" s="51"/>
      <c r="D195" s="51" t="s">
        <v>4624</v>
      </c>
      <c r="E195" s="52"/>
      <c r="F195" s="52"/>
      <c r="R195" s="3" t="s">
        <v>4625</v>
      </c>
      <c r="S195" s="5">
        <f>IFERROR(__xludf.DUMMYFUNCTION("SPLIT(R195,"","")"),194.0)</f>
        <v>194</v>
      </c>
      <c r="T195" s="5" t="str">
        <f>IFERROR(__xludf.DUMMYFUNCTION("""COMPUTED_VALUE"""),"Zimbabwe")</f>
        <v>Zimbabwe</v>
      </c>
      <c r="U195" s="5" t="str">
        <f>IFERROR(__xludf.DUMMYFUNCTION("""COMPUTED_VALUE"""),"Afrika")</f>
        <v>Afrika</v>
      </c>
    </row>
    <row r="196">
      <c r="A196" s="49" t="s">
        <v>4626</v>
      </c>
      <c r="B196" s="49"/>
      <c r="C196" s="49"/>
      <c r="D196" s="49" t="s">
        <v>4627</v>
      </c>
      <c r="E196" s="50"/>
      <c r="F196" s="50"/>
    </row>
    <row r="197">
      <c r="A197" s="51" t="s">
        <v>4103</v>
      </c>
      <c r="B197" s="51"/>
      <c r="C197" s="51"/>
      <c r="D197" s="51" t="s">
        <v>4628</v>
      </c>
      <c r="E197" s="52"/>
      <c r="F197" s="52"/>
    </row>
    <row r="198">
      <c r="A198" s="49" t="s">
        <v>487</v>
      </c>
      <c r="B198" s="49"/>
      <c r="C198" s="49"/>
      <c r="D198" s="49" t="s">
        <v>4629</v>
      </c>
      <c r="E198" s="50"/>
      <c r="F198" s="50"/>
    </row>
    <row r="199">
      <c r="A199" s="51" t="s">
        <v>4630</v>
      </c>
      <c r="B199" s="51"/>
      <c r="C199" s="51"/>
      <c r="D199" s="51" t="s">
        <v>4631</v>
      </c>
      <c r="E199" s="52"/>
      <c r="F199" s="52"/>
    </row>
    <row r="200">
      <c r="A200" s="49" t="s">
        <v>4119</v>
      </c>
      <c r="B200" s="49"/>
      <c r="C200" s="49"/>
      <c r="D200" s="49" t="s">
        <v>4119</v>
      </c>
      <c r="E200" s="50"/>
      <c r="F200" s="50"/>
    </row>
    <row r="201">
      <c r="A201" s="51" t="s">
        <v>487</v>
      </c>
      <c r="B201" s="51"/>
      <c r="C201" s="51"/>
      <c r="D201" s="51" t="s">
        <v>4632</v>
      </c>
      <c r="E201" s="52"/>
      <c r="F201" s="52"/>
    </row>
    <row r="202">
      <c r="A202" s="49" t="s">
        <v>4082</v>
      </c>
      <c r="B202" s="49"/>
      <c r="C202" s="49"/>
      <c r="D202" s="49" t="s">
        <v>4633</v>
      </c>
      <c r="E202" s="50"/>
      <c r="F202" s="50"/>
    </row>
    <row r="203">
      <c r="A203" s="51" t="s">
        <v>4137</v>
      </c>
      <c r="B203" s="51"/>
      <c r="C203" s="51"/>
      <c r="D203" s="51" t="s">
        <v>4119</v>
      </c>
      <c r="E203" s="52"/>
      <c r="F203" s="52"/>
    </row>
    <row r="204">
      <c r="A204" s="49" t="s">
        <v>487</v>
      </c>
      <c r="B204" s="49"/>
      <c r="C204" s="49"/>
      <c r="D204" s="49" t="s">
        <v>4361</v>
      </c>
      <c r="E204" s="50"/>
      <c r="F204" s="50"/>
    </row>
    <row r="205">
      <c r="A205" s="51" t="s">
        <v>487</v>
      </c>
      <c r="B205" s="51"/>
      <c r="C205" s="51"/>
      <c r="D205" s="51" t="s">
        <v>4634</v>
      </c>
      <c r="E205" s="52"/>
      <c r="F205" s="52"/>
    </row>
    <row r="206">
      <c r="A206" s="49" t="s">
        <v>487</v>
      </c>
      <c r="B206" s="49"/>
      <c r="C206" s="49"/>
      <c r="D206" s="49" t="s">
        <v>4635</v>
      </c>
      <c r="E206" s="50"/>
      <c r="F206" s="50"/>
    </row>
    <row r="207">
      <c r="A207" s="51" t="s">
        <v>487</v>
      </c>
      <c r="B207" s="51"/>
      <c r="C207" s="51"/>
      <c r="D207" s="51" t="s">
        <v>4636</v>
      </c>
      <c r="E207" s="52"/>
      <c r="F207" s="52"/>
    </row>
    <row r="208">
      <c r="A208" s="49" t="s">
        <v>487</v>
      </c>
      <c r="B208" s="49"/>
      <c r="C208" s="49"/>
      <c r="D208" s="49" t="s">
        <v>4637</v>
      </c>
      <c r="E208" s="50"/>
      <c r="F208" s="50"/>
    </row>
    <row r="209">
      <c r="A209" s="51" t="s">
        <v>4103</v>
      </c>
      <c r="B209" s="51"/>
      <c r="C209" s="51"/>
      <c r="D209" s="51" t="s">
        <v>4594</v>
      </c>
      <c r="E209" s="52"/>
      <c r="F209" s="52"/>
    </row>
    <row r="210">
      <c r="A210" s="49" t="s">
        <v>487</v>
      </c>
      <c r="B210" s="49"/>
      <c r="C210" s="49"/>
      <c r="D210" s="49" t="s">
        <v>4638</v>
      </c>
      <c r="E210" s="50"/>
      <c r="F210" s="50"/>
    </row>
    <row r="211">
      <c r="A211" s="51" t="s">
        <v>487</v>
      </c>
      <c r="B211" s="51"/>
      <c r="C211" s="51"/>
      <c r="D211" s="51" t="s">
        <v>4639</v>
      </c>
      <c r="E211" s="52"/>
      <c r="F211" s="52"/>
    </row>
    <row r="212">
      <c r="A212" s="49" t="s">
        <v>4103</v>
      </c>
      <c r="B212" s="49"/>
      <c r="C212" s="49"/>
      <c r="D212" s="49" t="s">
        <v>4640</v>
      </c>
      <c r="E212" s="50"/>
      <c r="F212" s="50"/>
    </row>
    <row r="213">
      <c r="A213" s="51" t="s">
        <v>4103</v>
      </c>
      <c r="B213" s="51"/>
      <c r="C213" s="51"/>
      <c r="D213" s="51" t="s">
        <v>4157</v>
      </c>
      <c r="E213" s="52"/>
      <c r="F213" s="52"/>
    </row>
    <row r="214">
      <c r="A214" s="49" t="s">
        <v>4082</v>
      </c>
      <c r="B214" s="49"/>
      <c r="C214" s="49"/>
      <c r="D214" s="49" t="s">
        <v>4641</v>
      </c>
      <c r="E214" s="50"/>
      <c r="F214" s="50"/>
    </row>
    <row r="215">
      <c r="A215" s="51" t="s">
        <v>4103</v>
      </c>
      <c r="B215" s="51"/>
      <c r="C215" s="51"/>
      <c r="D215" s="51" t="s">
        <v>4642</v>
      </c>
      <c r="E215" s="52"/>
      <c r="F215" s="52"/>
    </row>
    <row r="216">
      <c r="A216" s="49" t="s">
        <v>487</v>
      </c>
      <c r="B216" s="49"/>
      <c r="C216" s="49"/>
      <c r="D216" s="49" t="s">
        <v>4643</v>
      </c>
      <c r="E216" s="50"/>
      <c r="F216" s="50"/>
    </row>
    <row r="217">
      <c r="A217" s="51" t="s">
        <v>487</v>
      </c>
      <c r="B217" s="51"/>
      <c r="C217" s="51"/>
      <c r="D217" s="51" t="s">
        <v>4644</v>
      </c>
      <c r="E217" s="52"/>
      <c r="F217" s="52"/>
    </row>
    <row r="218">
      <c r="A218" s="49" t="s">
        <v>487</v>
      </c>
      <c r="B218" s="49"/>
      <c r="C218" s="49"/>
      <c r="D218" s="49" t="s">
        <v>4645</v>
      </c>
      <c r="E218" s="50"/>
      <c r="F218" s="50"/>
    </row>
    <row r="219">
      <c r="A219" s="51" t="s">
        <v>487</v>
      </c>
      <c r="B219" s="51"/>
      <c r="C219" s="51"/>
      <c r="D219" s="51" t="s">
        <v>4646</v>
      </c>
      <c r="E219" s="52"/>
      <c r="F219" s="52"/>
    </row>
    <row r="220">
      <c r="A220" s="49" t="s">
        <v>487</v>
      </c>
      <c r="B220" s="49"/>
      <c r="C220" s="49"/>
      <c r="D220" s="49" t="s">
        <v>4647</v>
      </c>
      <c r="E220" s="50"/>
      <c r="F220" s="50"/>
    </row>
    <row r="221">
      <c r="A221" s="51" t="s">
        <v>4103</v>
      </c>
      <c r="B221" s="51"/>
      <c r="C221" s="51"/>
      <c r="D221" s="51" t="s">
        <v>4648</v>
      </c>
      <c r="E221" s="52"/>
      <c r="F221" s="52"/>
    </row>
    <row r="222">
      <c r="A222" s="49" t="s">
        <v>487</v>
      </c>
      <c r="B222" s="49"/>
      <c r="C222" s="49"/>
      <c r="D222" s="49" t="s">
        <v>4649</v>
      </c>
      <c r="E222" s="50"/>
      <c r="F222" s="50"/>
    </row>
    <row r="223">
      <c r="A223" s="51" t="s">
        <v>487</v>
      </c>
      <c r="B223" s="51"/>
      <c r="C223" s="51"/>
      <c r="D223" s="51" t="s">
        <v>4614</v>
      </c>
      <c r="E223" s="52"/>
      <c r="F223" s="52"/>
    </row>
    <row r="224">
      <c r="A224" s="49" t="s">
        <v>487</v>
      </c>
      <c r="B224" s="49"/>
      <c r="C224" s="49"/>
      <c r="D224" s="49" t="s">
        <v>4650</v>
      </c>
      <c r="E224" s="50"/>
      <c r="F224" s="50"/>
    </row>
    <row r="225">
      <c r="A225" s="51" t="s">
        <v>487</v>
      </c>
      <c r="B225" s="51"/>
      <c r="C225" s="51"/>
      <c r="D225" s="51" t="s">
        <v>4651</v>
      </c>
      <c r="E225" s="52"/>
      <c r="F225" s="52"/>
    </row>
    <row r="226">
      <c r="A226" s="49" t="s">
        <v>487</v>
      </c>
      <c r="B226" s="49"/>
      <c r="C226" s="49"/>
      <c r="D226" s="49" t="s">
        <v>4652</v>
      </c>
      <c r="E226" s="50"/>
      <c r="F226" s="50"/>
    </row>
    <row r="227">
      <c r="A227" s="51" t="s">
        <v>4103</v>
      </c>
      <c r="B227" s="51"/>
      <c r="C227" s="51"/>
      <c r="D227" s="51" t="s">
        <v>4653</v>
      </c>
      <c r="E227" s="52"/>
      <c r="F227" s="52"/>
    </row>
    <row r="228">
      <c r="A228" s="49" t="s">
        <v>4103</v>
      </c>
      <c r="B228" s="49"/>
      <c r="C228" s="49"/>
      <c r="D228" s="49" t="s">
        <v>492</v>
      </c>
      <c r="E228" s="50"/>
      <c r="F228" s="50"/>
    </row>
    <row r="229">
      <c r="A229" s="51" t="s">
        <v>487</v>
      </c>
      <c r="B229" s="51"/>
      <c r="C229" s="51"/>
      <c r="D229" s="51" t="s">
        <v>4654</v>
      </c>
      <c r="E229" s="52"/>
      <c r="F229" s="52"/>
    </row>
    <row r="230">
      <c r="A230" s="49" t="s">
        <v>4082</v>
      </c>
      <c r="B230" s="49"/>
      <c r="C230" s="49"/>
      <c r="D230" s="49" t="s">
        <v>4655</v>
      </c>
      <c r="E230" s="50"/>
      <c r="F230" s="50"/>
    </row>
    <row r="231">
      <c r="A231" s="51" t="s">
        <v>487</v>
      </c>
      <c r="B231" s="51"/>
      <c r="C231" s="51"/>
      <c r="D231" s="51" t="s">
        <v>4656</v>
      </c>
      <c r="E231" s="52"/>
      <c r="F231" s="52"/>
    </row>
    <row r="232">
      <c r="A232" s="49" t="s">
        <v>4103</v>
      </c>
      <c r="B232" s="49"/>
      <c r="C232" s="49"/>
      <c r="D232" s="49" t="s">
        <v>4657</v>
      </c>
      <c r="E232" s="50"/>
      <c r="F232" s="50"/>
    </row>
    <row r="233">
      <c r="A233" s="51" t="s">
        <v>487</v>
      </c>
      <c r="B233" s="51"/>
      <c r="C233" s="51"/>
      <c r="D233" s="51" t="s">
        <v>4658</v>
      </c>
      <c r="E233" s="52"/>
      <c r="F233" s="52"/>
    </row>
    <row r="234">
      <c r="A234" s="49" t="s">
        <v>487</v>
      </c>
      <c r="B234" s="49"/>
      <c r="C234" s="49"/>
      <c r="D234" s="49" t="s">
        <v>4659</v>
      </c>
      <c r="E234" s="50"/>
      <c r="F234" s="50"/>
    </row>
    <row r="235">
      <c r="A235" s="51" t="s">
        <v>487</v>
      </c>
      <c r="B235" s="51"/>
      <c r="C235" s="51"/>
      <c r="D235" s="51" t="s">
        <v>4660</v>
      </c>
      <c r="E235" s="52"/>
      <c r="F235" s="52"/>
    </row>
    <row r="236">
      <c r="A236" s="49" t="s">
        <v>487</v>
      </c>
      <c r="B236" s="49"/>
      <c r="C236" s="49"/>
      <c r="D236" s="49" t="s">
        <v>4661</v>
      </c>
      <c r="E236" s="50"/>
      <c r="F236" s="50"/>
    </row>
    <row r="237">
      <c r="A237" s="51" t="s">
        <v>487</v>
      </c>
      <c r="B237" s="51"/>
      <c r="C237" s="51"/>
      <c r="D237" s="51" t="s">
        <v>4662</v>
      </c>
      <c r="E237" s="52"/>
      <c r="F237" s="52"/>
    </row>
    <row r="238">
      <c r="A238" s="49" t="s">
        <v>4103</v>
      </c>
      <c r="B238" s="49"/>
      <c r="C238" s="49"/>
      <c r="D238" s="49" t="s">
        <v>4663</v>
      </c>
      <c r="E238" s="50"/>
      <c r="F238" s="50"/>
    </row>
    <row r="239">
      <c r="A239" s="51" t="s">
        <v>487</v>
      </c>
      <c r="B239" s="51"/>
      <c r="C239" s="51"/>
      <c r="D239" s="51" t="s">
        <v>4664</v>
      </c>
      <c r="E239" s="52"/>
      <c r="F239" s="52"/>
    </row>
    <row r="240">
      <c r="A240" s="49" t="s">
        <v>487</v>
      </c>
      <c r="B240" s="49"/>
      <c r="C240" s="49"/>
      <c r="D240" s="49" t="s">
        <v>4665</v>
      </c>
      <c r="E240" s="50"/>
      <c r="F240" s="50"/>
    </row>
    <row r="241">
      <c r="A241" s="51" t="s">
        <v>4137</v>
      </c>
      <c r="B241" s="51"/>
      <c r="C241" s="51"/>
      <c r="D241" s="51" t="s">
        <v>4119</v>
      </c>
      <c r="E241" s="52"/>
      <c r="F241" s="52"/>
    </row>
    <row r="242">
      <c r="A242" s="49" t="s">
        <v>4137</v>
      </c>
      <c r="B242" s="49"/>
      <c r="C242" s="49"/>
      <c r="D242" s="49" t="s">
        <v>4119</v>
      </c>
      <c r="E242" s="50"/>
      <c r="F242" s="50"/>
    </row>
    <row r="243">
      <c r="A243" s="51" t="s">
        <v>4666</v>
      </c>
      <c r="B243" s="51"/>
      <c r="C243" s="51"/>
      <c r="D243" s="51" t="s">
        <v>4667</v>
      </c>
      <c r="E243" s="52"/>
      <c r="F243" s="52"/>
    </row>
    <row r="244">
      <c r="A244" s="49" t="s">
        <v>4082</v>
      </c>
      <c r="B244" s="49"/>
      <c r="C244" s="49"/>
      <c r="D244" s="49" t="s">
        <v>4668</v>
      </c>
      <c r="E244" s="50"/>
      <c r="F244" s="50"/>
    </row>
    <row r="245">
      <c r="A245" s="51" t="s">
        <v>4109</v>
      </c>
      <c r="B245" s="51"/>
      <c r="C245" s="51"/>
      <c r="D245" s="51" t="s">
        <v>4669</v>
      </c>
      <c r="E245" s="52"/>
      <c r="F245" s="52"/>
    </row>
    <row r="246">
      <c r="A246" s="49" t="s">
        <v>487</v>
      </c>
      <c r="B246" s="49"/>
      <c r="C246" s="49"/>
      <c r="D246" s="49" t="s">
        <v>4670</v>
      </c>
      <c r="E246" s="50"/>
      <c r="F246" s="50"/>
    </row>
    <row r="247">
      <c r="A247" s="51" t="s">
        <v>4137</v>
      </c>
      <c r="B247" s="51"/>
      <c r="C247" s="51"/>
      <c r="D247" s="51" t="s">
        <v>4119</v>
      </c>
      <c r="E247" s="52"/>
      <c r="F247" s="52"/>
    </row>
    <row r="248">
      <c r="A248" s="49" t="s">
        <v>4137</v>
      </c>
      <c r="B248" s="49"/>
      <c r="C248" s="49"/>
      <c r="D248" s="49" t="s">
        <v>4119</v>
      </c>
      <c r="E248" s="50"/>
      <c r="F248" s="50"/>
    </row>
    <row r="249">
      <c r="A249" s="51" t="s">
        <v>4167</v>
      </c>
      <c r="B249" s="51"/>
      <c r="C249" s="51"/>
      <c r="D249" s="51" t="s">
        <v>4671</v>
      </c>
      <c r="E249" s="52"/>
      <c r="F249" s="52"/>
    </row>
    <row r="250">
      <c r="A250" s="49" t="s">
        <v>487</v>
      </c>
      <c r="B250" s="49"/>
      <c r="C250" s="49"/>
      <c r="D250" s="49" t="s">
        <v>4672</v>
      </c>
      <c r="E250" s="50"/>
      <c r="F250" s="50"/>
    </row>
    <row r="251">
      <c r="A251" s="51" t="s">
        <v>4673</v>
      </c>
      <c r="B251" s="51"/>
      <c r="C251" s="51"/>
      <c r="D251" s="51" t="s">
        <v>4674</v>
      </c>
      <c r="E251" s="52"/>
      <c r="F251" s="52"/>
    </row>
    <row r="252">
      <c r="A252" s="49" t="s">
        <v>487</v>
      </c>
      <c r="B252" s="49"/>
      <c r="C252" s="49"/>
      <c r="D252" s="49" t="s">
        <v>4675</v>
      </c>
      <c r="E252" s="50"/>
      <c r="F252" s="50"/>
    </row>
    <row r="253">
      <c r="A253" s="51" t="s">
        <v>4676</v>
      </c>
      <c r="B253" s="51"/>
      <c r="C253" s="51"/>
      <c r="D253" s="51" t="s">
        <v>4677</v>
      </c>
      <c r="E253" s="52"/>
      <c r="F253" s="52"/>
    </row>
    <row r="254">
      <c r="A254" s="49" t="s">
        <v>4678</v>
      </c>
      <c r="B254" s="49"/>
      <c r="C254" s="49"/>
      <c r="D254" s="49" t="s">
        <v>4679</v>
      </c>
      <c r="E254" s="50"/>
      <c r="F254" s="50"/>
    </row>
    <row r="255">
      <c r="A255" s="51" t="s">
        <v>4103</v>
      </c>
      <c r="B255" s="51"/>
      <c r="C255" s="51"/>
      <c r="D255" s="51" t="s">
        <v>4680</v>
      </c>
      <c r="E255" s="52"/>
      <c r="F255" s="52"/>
    </row>
    <row r="256">
      <c r="A256" s="49" t="s">
        <v>487</v>
      </c>
      <c r="B256" s="49"/>
      <c r="C256" s="49"/>
      <c r="D256" s="49" t="s">
        <v>4681</v>
      </c>
      <c r="E256" s="50"/>
      <c r="F256" s="50"/>
    </row>
    <row r="257">
      <c r="A257" s="51" t="s">
        <v>487</v>
      </c>
      <c r="B257" s="51"/>
      <c r="C257" s="51"/>
      <c r="D257" s="51" t="s">
        <v>4682</v>
      </c>
      <c r="E257" s="52"/>
      <c r="F257" s="52"/>
    </row>
    <row r="258">
      <c r="A258" s="49" t="s">
        <v>4582</v>
      </c>
      <c r="B258" s="49"/>
      <c r="C258" s="49"/>
      <c r="D258" s="49" t="s">
        <v>4683</v>
      </c>
      <c r="E258" s="50"/>
      <c r="F258" s="50"/>
    </row>
    <row r="259">
      <c r="A259" s="51" t="s">
        <v>487</v>
      </c>
      <c r="B259" s="51"/>
      <c r="C259" s="51"/>
      <c r="D259" s="51" t="s">
        <v>4684</v>
      </c>
      <c r="E259" s="52"/>
      <c r="F259" s="52"/>
    </row>
    <row r="260">
      <c r="A260" s="49" t="s">
        <v>4137</v>
      </c>
      <c r="B260" s="49"/>
      <c r="C260" s="49"/>
      <c r="D260" s="49" t="s">
        <v>4119</v>
      </c>
      <c r="E260" s="50"/>
      <c r="F260" s="50"/>
    </row>
    <row r="261">
      <c r="A261" s="51" t="s">
        <v>4137</v>
      </c>
      <c r="B261" s="51"/>
      <c r="C261" s="51"/>
      <c r="D261" s="51" t="s">
        <v>4119</v>
      </c>
      <c r="E261" s="52"/>
      <c r="F261" s="52"/>
    </row>
    <row r="262">
      <c r="A262" s="49" t="s">
        <v>487</v>
      </c>
      <c r="B262" s="49"/>
      <c r="C262" s="49"/>
      <c r="D262" s="49" t="s">
        <v>4685</v>
      </c>
      <c r="E262" s="50"/>
      <c r="F262" s="50"/>
    </row>
    <row r="263">
      <c r="A263" s="51" t="s">
        <v>487</v>
      </c>
      <c r="B263" s="51"/>
      <c r="C263" s="51"/>
      <c r="D263" s="51" t="s">
        <v>4686</v>
      </c>
      <c r="E263" s="52"/>
      <c r="F263" s="52"/>
    </row>
    <row r="264">
      <c r="A264" s="49" t="s">
        <v>4103</v>
      </c>
      <c r="B264" s="49"/>
      <c r="C264" s="49"/>
      <c r="D264" s="49" t="s">
        <v>4687</v>
      </c>
      <c r="E264" s="50"/>
      <c r="F264" s="50"/>
    </row>
    <row r="265">
      <c r="A265" s="51" t="s">
        <v>4688</v>
      </c>
      <c r="B265" s="51"/>
      <c r="C265" s="51"/>
      <c r="D265" s="51" t="s">
        <v>4689</v>
      </c>
      <c r="E265" s="52"/>
      <c r="F265" s="52"/>
    </row>
    <row r="266">
      <c r="A266" s="49" t="s">
        <v>487</v>
      </c>
      <c r="B266" s="49"/>
      <c r="C266" s="49"/>
      <c r="D266" s="49" t="s">
        <v>4690</v>
      </c>
      <c r="E266" s="50"/>
      <c r="F266" s="50"/>
    </row>
    <row r="267">
      <c r="A267" s="51" t="s">
        <v>487</v>
      </c>
      <c r="B267" s="51"/>
      <c r="C267" s="51"/>
      <c r="D267" s="51" t="s">
        <v>4691</v>
      </c>
      <c r="E267" s="52"/>
      <c r="F267" s="52"/>
    </row>
    <row r="268">
      <c r="A268" s="49" t="s">
        <v>487</v>
      </c>
      <c r="B268" s="49"/>
      <c r="C268" s="49"/>
      <c r="D268" s="49" t="s">
        <v>4692</v>
      </c>
      <c r="E268" s="50"/>
      <c r="F268" s="50"/>
    </row>
    <row r="269">
      <c r="A269" s="51" t="s">
        <v>4137</v>
      </c>
      <c r="B269" s="51"/>
      <c r="C269" s="51"/>
      <c r="D269" s="51" t="s">
        <v>4119</v>
      </c>
      <c r="E269" s="52"/>
      <c r="F269" s="52"/>
    </row>
    <row r="270">
      <c r="A270" s="49" t="s">
        <v>4137</v>
      </c>
      <c r="B270" s="49"/>
      <c r="C270" s="49"/>
      <c r="D270" s="49" t="s">
        <v>4119</v>
      </c>
      <c r="E270" s="50"/>
      <c r="F270" s="50"/>
    </row>
    <row r="271">
      <c r="A271" s="51" t="s">
        <v>4137</v>
      </c>
      <c r="B271" s="51"/>
      <c r="C271" s="51"/>
      <c r="D271" s="51" t="s">
        <v>4119</v>
      </c>
      <c r="E271" s="52"/>
      <c r="F271" s="52"/>
    </row>
    <row r="272">
      <c r="A272" s="49" t="s">
        <v>4137</v>
      </c>
      <c r="B272" s="49"/>
      <c r="C272" s="49"/>
      <c r="D272" s="49" t="s">
        <v>4693</v>
      </c>
      <c r="E272" s="50"/>
      <c r="F272" s="50"/>
    </row>
    <row r="273">
      <c r="A273" s="51" t="s">
        <v>4137</v>
      </c>
      <c r="B273" s="51"/>
      <c r="C273" s="51"/>
      <c r="D273" s="51" t="s">
        <v>4119</v>
      </c>
      <c r="E273" s="52"/>
      <c r="F273" s="52"/>
    </row>
    <row r="274">
      <c r="A274" s="49" t="s">
        <v>4119</v>
      </c>
      <c r="B274" s="49"/>
      <c r="C274" s="49"/>
      <c r="D274" s="49" t="s">
        <v>4119</v>
      </c>
      <c r="E274" s="50"/>
      <c r="F274" s="50"/>
    </row>
    <row r="275">
      <c r="A275" s="51" t="s">
        <v>4137</v>
      </c>
      <c r="B275" s="51"/>
      <c r="C275" s="51"/>
      <c r="D275" s="51" t="s">
        <v>4119</v>
      </c>
      <c r="E275" s="52"/>
      <c r="F275" s="52"/>
    </row>
    <row r="276">
      <c r="A276" s="49" t="s">
        <v>4119</v>
      </c>
      <c r="B276" s="49"/>
      <c r="C276" s="49"/>
      <c r="D276" s="49" t="s">
        <v>4119</v>
      </c>
      <c r="E276" s="50"/>
      <c r="F276" s="50"/>
    </row>
    <row r="277">
      <c r="A277" s="51" t="s">
        <v>4137</v>
      </c>
      <c r="B277" s="51"/>
      <c r="C277" s="51"/>
      <c r="D277" s="51" t="s">
        <v>4119</v>
      </c>
      <c r="E277" s="52"/>
      <c r="F277" s="52"/>
    </row>
    <row r="278">
      <c r="A278" s="49" t="s">
        <v>487</v>
      </c>
      <c r="B278" s="49"/>
      <c r="C278" s="49"/>
      <c r="D278" s="49" t="s">
        <v>4334</v>
      </c>
      <c r="E278" s="50"/>
      <c r="F278" s="50"/>
    </row>
    <row r="279">
      <c r="A279" s="51" t="s">
        <v>4137</v>
      </c>
      <c r="B279" s="51"/>
      <c r="C279" s="51"/>
      <c r="D279" s="51" t="s">
        <v>4119</v>
      </c>
      <c r="E279" s="52"/>
      <c r="F279" s="52"/>
    </row>
    <row r="280">
      <c r="A280" s="49" t="s">
        <v>4137</v>
      </c>
      <c r="B280" s="49"/>
      <c r="C280" s="49"/>
      <c r="D280" s="49" t="s">
        <v>4119</v>
      </c>
      <c r="E280" s="50"/>
      <c r="F280" s="50"/>
    </row>
    <row r="281">
      <c r="A281" s="51" t="s">
        <v>4137</v>
      </c>
      <c r="B281" s="51"/>
      <c r="C281" s="51"/>
      <c r="D281" s="51" t="s">
        <v>4119</v>
      </c>
      <c r="E281" s="52"/>
      <c r="F281" s="52"/>
    </row>
    <row r="282">
      <c r="A282" s="49" t="s">
        <v>4137</v>
      </c>
      <c r="B282" s="49"/>
      <c r="C282" s="49"/>
      <c r="D282" s="49" t="s">
        <v>4119</v>
      </c>
      <c r="E282" s="50"/>
      <c r="F282" s="50"/>
    </row>
    <row r="283">
      <c r="A283" s="51" t="s">
        <v>4137</v>
      </c>
      <c r="B283" s="51"/>
      <c r="C283" s="51"/>
      <c r="D283" s="51" t="s">
        <v>4119</v>
      </c>
      <c r="E283" s="52"/>
      <c r="F283" s="52"/>
    </row>
    <row r="284">
      <c r="A284" s="49" t="s">
        <v>4582</v>
      </c>
      <c r="B284" s="49"/>
      <c r="C284" s="49"/>
      <c r="D284" s="49" t="s">
        <v>4694</v>
      </c>
      <c r="E284" s="50"/>
      <c r="F284" s="50"/>
    </row>
    <row r="285">
      <c r="A285" s="51" t="s">
        <v>4103</v>
      </c>
      <c r="B285" s="51"/>
      <c r="C285" s="51"/>
      <c r="D285" s="51" t="s">
        <v>4695</v>
      </c>
      <c r="E285" s="52"/>
      <c r="F285" s="52"/>
    </row>
    <row r="286">
      <c r="A286" s="49" t="s">
        <v>4103</v>
      </c>
      <c r="B286" s="49"/>
      <c r="C286" s="49"/>
      <c r="D286" s="49" t="s">
        <v>4696</v>
      </c>
      <c r="E286" s="50"/>
      <c r="F286" s="50"/>
    </row>
    <row r="287">
      <c r="A287" s="51" t="s">
        <v>487</v>
      </c>
      <c r="B287" s="51"/>
      <c r="C287" s="51"/>
      <c r="D287" s="51" t="s">
        <v>4697</v>
      </c>
      <c r="E287" s="52"/>
      <c r="F287" s="52"/>
    </row>
    <row r="288">
      <c r="A288" s="49" t="s">
        <v>4137</v>
      </c>
      <c r="B288" s="49"/>
      <c r="C288" s="49"/>
      <c r="D288" s="49" t="s">
        <v>492</v>
      </c>
      <c r="E288" s="50"/>
      <c r="F288" s="50"/>
    </row>
    <row r="289">
      <c r="A289" s="51" t="s">
        <v>4119</v>
      </c>
      <c r="B289" s="51"/>
      <c r="C289" s="51"/>
      <c r="D289" s="51" t="s">
        <v>4119</v>
      </c>
      <c r="E289" s="52"/>
      <c r="F289" s="52"/>
    </row>
    <row r="290">
      <c r="A290" s="49" t="s">
        <v>4119</v>
      </c>
      <c r="B290" s="49"/>
      <c r="C290" s="49"/>
      <c r="D290" s="49" t="s">
        <v>4119</v>
      </c>
      <c r="E290" s="50"/>
      <c r="F290" s="50"/>
    </row>
    <row r="291">
      <c r="A291" s="51" t="s">
        <v>487</v>
      </c>
      <c r="B291" s="51"/>
      <c r="C291" s="51"/>
      <c r="D291" s="51" t="s">
        <v>4698</v>
      </c>
      <c r="E291" s="52"/>
      <c r="F291" s="52"/>
    </row>
    <row r="292">
      <c r="A292" s="49" t="s">
        <v>4699</v>
      </c>
      <c r="B292" s="49"/>
      <c r="C292" s="49"/>
      <c r="D292" s="49" t="s">
        <v>4700</v>
      </c>
      <c r="E292" s="50"/>
      <c r="F292" s="50"/>
    </row>
    <row r="293">
      <c r="A293" s="51" t="s">
        <v>4137</v>
      </c>
      <c r="B293" s="51"/>
      <c r="C293" s="51"/>
      <c r="D293" s="51" t="s">
        <v>4119</v>
      </c>
      <c r="E293" s="52"/>
      <c r="F293" s="52"/>
    </row>
    <row r="294">
      <c r="A294" s="49" t="s">
        <v>4137</v>
      </c>
      <c r="B294" s="49"/>
      <c r="C294" s="49"/>
      <c r="D294" s="49" t="s">
        <v>4119</v>
      </c>
      <c r="E294" s="50"/>
      <c r="F294" s="50"/>
    </row>
    <row r="295">
      <c r="A295" s="51" t="s">
        <v>4119</v>
      </c>
      <c r="B295" s="51"/>
      <c r="C295" s="51"/>
      <c r="D295" s="51" t="s">
        <v>4119</v>
      </c>
      <c r="E295" s="52"/>
      <c r="F295" s="52"/>
    </row>
    <row r="296">
      <c r="A296" s="49" t="s">
        <v>4137</v>
      </c>
      <c r="B296" s="49"/>
      <c r="C296" s="49"/>
      <c r="D296" s="49" t="s">
        <v>4119</v>
      </c>
      <c r="E296" s="50"/>
      <c r="F296" s="50"/>
    </row>
    <row r="297">
      <c r="A297" s="51" t="s">
        <v>4137</v>
      </c>
      <c r="B297" s="51"/>
      <c r="C297" s="51"/>
      <c r="D297" s="51" t="s">
        <v>4119</v>
      </c>
      <c r="E297" s="52"/>
      <c r="F297" s="52"/>
    </row>
    <row r="298">
      <c r="A298" s="49" t="s">
        <v>4137</v>
      </c>
      <c r="B298" s="49"/>
      <c r="C298" s="49"/>
      <c r="D298" s="49" t="s">
        <v>4119</v>
      </c>
      <c r="E298" s="50"/>
      <c r="F298" s="50"/>
    </row>
    <row r="299">
      <c r="A299" s="51" t="s">
        <v>4137</v>
      </c>
      <c r="B299" s="51"/>
      <c r="C299" s="51"/>
      <c r="D299" s="51" t="s">
        <v>4119</v>
      </c>
      <c r="E299" s="52"/>
      <c r="F299" s="52"/>
    </row>
    <row r="300">
      <c r="A300" s="49" t="s">
        <v>4137</v>
      </c>
      <c r="B300" s="49"/>
      <c r="C300" s="49"/>
      <c r="D300" s="49" t="s">
        <v>4119</v>
      </c>
      <c r="E300" s="50"/>
      <c r="F300" s="50"/>
    </row>
    <row r="301">
      <c r="A301" s="51" t="s">
        <v>4119</v>
      </c>
      <c r="B301" s="51"/>
      <c r="C301" s="51"/>
      <c r="D301" s="51" t="s">
        <v>4119</v>
      </c>
      <c r="E301" s="52"/>
      <c r="F301" s="52"/>
    </row>
    <row r="302">
      <c r="A302" s="49" t="s">
        <v>4119</v>
      </c>
      <c r="B302" s="49"/>
      <c r="C302" s="49"/>
      <c r="D302" s="49" t="s">
        <v>4119</v>
      </c>
      <c r="E302" s="50"/>
      <c r="F302" s="50"/>
    </row>
    <row r="303">
      <c r="A303" s="51" t="s">
        <v>4137</v>
      </c>
      <c r="B303" s="51"/>
      <c r="C303" s="51"/>
      <c r="D303" s="51" t="s">
        <v>4119</v>
      </c>
      <c r="E303" s="52"/>
      <c r="F303" s="52"/>
    </row>
    <row r="304">
      <c r="A304" s="49" t="s">
        <v>4137</v>
      </c>
      <c r="B304" s="49"/>
      <c r="C304" s="49"/>
      <c r="D304" s="49" t="s">
        <v>4119</v>
      </c>
      <c r="E304" s="50"/>
      <c r="F304" s="50"/>
    </row>
    <row r="305">
      <c r="A305" s="51" t="s">
        <v>4119</v>
      </c>
      <c r="B305" s="51"/>
      <c r="C305" s="51"/>
      <c r="D305" s="51" t="s">
        <v>4119</v>
      </c>
      <c r="E305" s="52"/>
      <c r="F305" s="52"/>
    </row>
    <row r="306">
      <c r="A306" s="49" t="s">
        <v>4137</v>
      </c>
      <c r="B306" s="49"/>
      <c r="C306" s="49"/>
      <c r="D306" s="49" t="s">
        <v>4119</v>
      </c>
      <c r="E306" s="50"/>
      <c r="F306" s="50"/>
    </row>
    <row r="307">
      <c r="A307" s="51" t="s">
        <v>487</v>
      </c>
      <c r="B307" s="51"/>
      <c r="C307" s="51"/>
      <c r="D307" s="51" t="s">
        <v>4701</v>
      </c>
      <c r="E307" s="52"/>
      <c r="F307" s="52"/>
    </row>
    <row r="308">
      <c r="A308" s="49" t="s">
        <v>4137</v>
      </c>
      <c r="B308" s="49"/>
      <c r="C308" s="49"/>
      <c r="D308" s="49" t="s">
        <v>4119</v>
      </c>
      <c r="E308" s="50"/>
      <c r="F308" s="50"/>
    </row>
    <row r="309">
      <c r="A309" s="51" t="s">
        <v>4137</v>
      </c>
      <c r="B309" s="51"/>
      <c r="C309" s="51"/>
      <c r="D309" s="51" t="s">
        <v>4119</v>
      </c>
      <c r="E309" s="52"/>
      <c r="F309" s="52"/>
    </row>
    <row r="310">
      <c r="A310" s="49" t="s">
        <v>4346</v>
      </c>
      <c r="B310" s="49"/>
      <c r="C310" s="49"/>
      <c r="D310" s="49" t="s">
        <v>4702</v>
      </c>
      <c r="E310" s="50"/>
      <c r="F310" s="50"/>
    </row>
    <row r="311">
      <c r="A311" s="51" t="s">
        <v>4137</v>
      </c>
      <c r="B311" s="51"/>
      <c r="C311" s="51"/>
      <c r="D311" s="51" t="s">
        <v>4119</v>
      </c>
      <c r="E311" s="52"/>
      <c r="F311" s="52"/>
    </row>
    <row r="312">
      <c r="A312" s="49" t="s">
        <v>4137</v>
      </c>
      <c r="B312" s="49"/>
      <c r="C312" s="49"/>
      <c r="D312" s="49" t="s">
        <v>4119</v>
      </c>
      <c r="E312" s="50"/>
      <c r="F312" s="50"/>
    </row>
    <row r="313">
      <c r="A313" s="51" t="s">
        <v>487</v>
      </c>
      <c r="B313" s="51"/>
      <c r="C313" s="51"/>
      <c r="D313" s="51" t="s">
        <v>4703</v>
      </c>
      <c r="E313" s="52"/>
      <c r="F313" s="52"/>
    </row>
    <row r="314">
      <c r="A314" s="49" t="s">
        <v>4137</v>
      </c>
      <c r="B314" s="49"/>
      <c r="C314" s="49"/>
      <c r="D314" s="49" t="s">
        <v>4119</v>
      </c>
      <c r="E314" s="50"/>
      <c r="F314" s="50"/>
    </row>
    <row r="315">
      <c r="A315" s="51" t="s">
        <v>487</v>
      </c>
      <c r="B315" s="51"/>
      <c r="C315" s="51"/>
      <c r="D315" s="51" t="s">
        <v>4704</v>
      </c>
      <c r="E315" s="52"/>
      <c r="F315" s="52"/>
    </row>
    <row r="316">
      <c r="A316" s="49" t="s">
        <v>4103</v>
      </c>
      <c r="B316" s="49"/>
      <c r="C316" s="49"/>
      <c r="D316" s="49" t="s">
        <v>4705</v>
      </c>
      <c r="E316" s="50"/>
      <c r="F316" s="50"/>
    </row>
    <row r="317">
      <c r="A317" s="51" t="s">
        <v>4137</v>
      </c>
      <c r="B317" s="51"/>
      <c r="C317" s="51"/>
      <c r="D317" s="51" t="s">
        <v>4119</v>
      </c>
      <c r="E317" s="52"/>
      <c r="F317" s="52"/>
    </row>
    <row r="318">
      <c r="A318" s="49" t="s">
        <v>4119</v>
      </c>
      <c r="B318" s="49"/>
      <c r="C318" s="49"/>
      <c r="D318" s="49" t="s">
        <v>4119</v>
      </c>
      <c r="E318" s="50"/>
      <c r="F318" s="50"/>
    </row>
    <row r="319">
      <c r="A319" s="51" t="s">
        <v>4119</v>
      </c>
      <c r="B319" s="51"/>
      <c r="C319" s="51"/>
      <c r="D319" s="51" t="s">
        <v>4119</v>
      </c>
      <c r="E319" s="52"/>
      <c r="F319" s="52"/>
    </row>
    <row r="320">
      <c r="A320" s="49" t="s">
        <v>4119</v>
      </c>
      <c r="B320" s="49"/>
      <c r="C320" s="49"/>
      <c r="D320" s="49" t="s">
        <v>4119</v>
      </c>
      <c r="E320" s="50"/>
      <c r="F320" s="50"/>
    </row>
    <row r="321">
      <c r="A321" s="51" t="s">
        <v>487</v>
      </c>
      <c r="B321" s="51"/>
      <c r="C321" s="51"/>
      <c r="D321" s="51" t="s">
        <v>4706</v>
      </c>
      <c r="E321" s="52"/>
      <c r="F321" s="52"/>
    </row>
    <row r="322">
      <c r="A322" s="49" t="s">
        <v>4109</v>
      </c>
      <c r="B322" s="49"/>
      <c r="C322" s="49"/>
      <c r="D322" s="49" t="s">
        <v>4707</v>
      </c>
      <c r="E322" s="50"/>
      <c r="F322" s="50"/>
    </row>
    <row r="323">
      <c r="A323" s="51" t="s">
        <v>4137</v>
      </c>
      <c r="B323" s="51"/>
      <c r="C323" s="51"/>
      <c r="D323" s="51" t="s">
        <v>4708</v>
      </c>
      <c r="E323" s="52"/>
      <c r="F323" s="52"/>
    </row>
    <row r="324">
      <c r="A324" s="49" t="s">
        <v>4137</v>
      </c>
      <c r="B324" s="49"/>
      <c r="C324" s="49"/>
      <c r="D324" s="49" t="s">
        <v>4119</v>
      </c>
      <c r="E324" s="50"/>
      <c r="F324" s="50"/>
    </row>
    <row r="325">
      <c r="A325" s="51" t="s">
        <v>487</v>
      </c>
      <c r="B325" s="51"/>
      <c r="C325" s="51"/>
      <c r="D325" s="51" t="s">
        <v>4709</v>
      </c>
      <c r="E325" s="52"/>
      <c r="F325" s="52"/>
    </row>
    <row r="326">
      <c r="A326" s="49" t="s">
        <v>487</v>
      </c>
      <c r="B326" s="49"/>
      <c r="C326" s="49"/>
      <c r="D326" s="49" t="s">
        <v>4710</v>
      </c>
      <c r="E326" s="50"/>
      <c r="F326" s="50"/>
    </row>
    <row r="327">
      <c r="A327" s="51" t="s">
        <v>4103</v>
      </c>
      <c r="B327" s="51"/>
      <c r="C327" s="51"/>
      <c r="D327" s="51" t="s">
        <v>4711</v>
      </c>
      <c r="E327" s="52"/>
      <c r="F327" s="52"/>
    </row>
    <row r="328">
      <c r="A328" s="49" t="s">
        <v>4103</v>
      </c>
      <c r="B328" s="49"/>
      <c r="C328" s="49"/>
      <c r="D328" s="49" t="s">
        <v>4712</v>
      </c>
      <c r="E328" s="50"/>
      <c r="F328" s="50"/>
    </row>
    <row r="329">
      <c r="A329" s="51" t="s">
        <v>487</v>
      </c>
      <c r="B329" s="51"/>
      <c r="C329" s="51"/>
      <c r="D329" s="51" t="s">
        <v>4713</v>
      </c>
      <c r="E329" s="52"/>
      <c r="F329" s="52"/>
    </row>
    <row r="330">
      <c r="A330" s="49" t="s">
        <v>487</v>
      </c>
      <c r="B330" s="49"/>
      <c r="C330" s="49"/>
      <c r="D330" s="49" t="s">
        <v>4714</v>
      </c>
      <c r="E330" s="50"/>
      <c r="F330" s="50"/>
    </row>
    <row r="331">
      <c r="A331" s="51" t="s">
        <v>4137</v>
      </c>
      <c r="B331" s="51"/>
      <c r="C331" s="51"/>
      <c r="D331" s="51" t="s">
        <v>4715</v>
      </c>
      <c r="E331" s="52"/>
      <c r="F331" s="52"/>
    </row>
    <row r="332">
      <c r="A332" s="49" t="s">
        <v>4137</v>
      </c>
      <c r="B332" s="49"/>
      <c r="C332" s="49"/>
      <c r="D332" s="49" t="s">
        <v>4119</v>
      </c>
      <c r="E332" s="50"/>
      <c r="F332" s="50"/>
    </row>
    <row r="333">
      <c r="A333" s="51" t="s">
        <v>4137</v>
      </c>
      <c r="B333" s="51"/>
      <c r="C333" s="51"/>
      <c r="D333" s="51" t="s">
        <v>4119</v>
      </c>
      <c r="E333" s="52"/>
      <c r="F333" s="52"/>
    </row>
    <row r="334">
      <c r="A334" s="49" t="s">
        <v>4119</v>
      </c>
      <c r="B334" s="49"/>
      <c r="C334" s="49"/>
      <c r="D334" s="49" t="s">
        <v>4119</v>
      </c>
      <c r="E334" s="50"/>
      <c r="F334" s="50"/>
    </row>
    <row r="335">
      <c r="A335" s="51" t="s">
        <v>4119</v>
      </c>
      <c r="B335" s="51"/>
      <c r="C335" s="51"/>
      <c r="D335" s="51" t="s">
        <v>4119</v>
      </c>
      <c r="E335" s="52"/>
      <c r="F335" s="52"/>
    </row>
    <row r="336">
      <c r="A336" s="49" t="s">
        <v>4137</v>
      </c>
      <c r="B336" s="49"/>
      <c r="C336" s="49"/>
      <c r="D336" s="49" t="s">
        <v>4119</v>
      </c>
      <c r="E336" s="50"/>
      <c r="F336" s="50"/>
    </row>
    <row r="337">
      <c r="A337" s="51" t="s">
        <v>4119</v>
      </c>
      <c r="B337" s="51"/>
      <c r="C337" s="51"/>
      <c r="D337" s="51" t="s">
        <v>4408</v>
      </c>
      <c r="E337" s="52"/>
      <c r="F337" s="52"/>
    </row>
    <row r="338">
      <c r="A338" s="49" t="s">
        <v>487</v>
      </c>
      <c r="B338" s="49"/>
      <c r="C338" s="49"/>
      <c r="D338" s="49" t="s">
        <v>4334</v>
      </c>
      <c r="E338" s="50"/>
      <c r="F338" s="50"/>
    </row>
    <row r="339">
      <c r="A339" s="51" t="s">
        <v>4716</v>
      </c>
      <c r="B339" s="51"/>
      <c r="C339" s="51"/>
      <c r="D339" s="51" t="s">
        <v>4119</v>
      </c>
      <c r="E339" s="52"/>
      <c r="F339" s="52"/>
    </row>
    <row r="340">
      <c r="A340" s="49" t="s">
        <v>4137</v>
      </c>
      <c r="B340" s="49"/>
      <c r="C340" s="49"/>
      <c r="D340" s="49" t="s">
        <v>4119</v>
      </c>
      <c r="E340" s="50"/>
      <c r="F340" s="50"/>
    </row>
    <row r="341">
      <c r="A341" s="51" t="s">
        <v>4109</v>
      </c>
      <c r="B341" s="51"/>
      <c r="C341" s="51"/>
      <c r="D341" s="51" t="s">
        <v>4717</v>
      </c>
      <c r="E341" s="52"/>
      <c r="F341" s="52"/>
    </row>
    <row r="342">
      <c r="A342" s="49" t="s">
        <v>4718</v>
      </c>
      <c r="B342" s="49"/>
      <c r="C342" s="49"/>
      <c r="D342" s="49" t="s">
        <v>4119</v>
      </c>
      <c r="E342" s="50"/>
      <c r="F342" s="50"/>
    </row>
    <row r="343">
      <c r="A343" s="51" t="s">
        <v>4119</v>
      </c>
      <c r="B343" s="51"/>
      <c r="C343" s="51"/>
      <c r="D343" s="51" t="s">
        <v>4119</v>
      </c>
      <c r="E343" s="52"/>
      <c r="F343" s="52"/>
    </row>
    <row r="344">
      <c r="A344" s="49" t="s">
        <v>4137</v>
      </c>
      <c r="B344" s="49"/>
      <c r="C344" s="49"/>
      <c r="D344" s="49" t="s">
        <v>4719</v>
      </c>
      <c r="E344" s="50"/>
      <c r="F344" s="50"/>
    </row>
    <row r="345">
      <c r="A345" s="51" t="s">
        <v>4137</v>
      </c>
      <c r="B345" s="51"/>
      <c r="C345" s="51"/>
      <c r="D345" s="51" t="s">
        <v>4119</v>
      </c>
      <c r="E345" s="52"/>
      <c r="F345" s="52"/>
    </row>
    <row r="346">
      <c r="A346" s="49" t="s">
        <v>4119</v>
      </c>
      <c r="B346" s="49"/>
      <c r="C346" s="49"/>
      <c r="D346" s="49" t="s">
        <v>4119</v>
      </c>
      <c r="E346" s="50"/>
      <c r="F346" s="50"/>
    </row>
    <row r="347">
      <c r="A347" s="51" t="s">
        <v>4119</v>
      </c>
      <c r="B347" s="51"/>
      <c r="C347" s="51"/>
      <c r="D347" s="51" t="s">
        <v>4119</v>
      </c>
      <c r="E347" s="52"/>
      <c r="F347" s="52"/>
    </row>
    <row r="348">
      <c r="A348" s="49" t="s">
        <v>4720</v>
      </c>
      <c r="B348" s="49"/>
      <c r="C348" s="49"/>
      <c r="D348" s="49" t="s">
        <v>4721</v>
      </c>
      <c r="E348" s="50"/>
      <c r="F348" s="50"/>
    </row>
    <row r="349">
      <c r="A349" s="51" t="s">
        <v>4137</v>
      </c>
      <c r="B349" s="51"/>
      <c r="C349" s="51"/>
      <c r="D349" s="51" t="s">
        <v>4119</v>
      </c>
      <c r="E349" s="52"/>
      <c r="F349" s="52"/>
    </row>
    <row r="350">
      <c r="A350" s="49" t="s">
        <v>4137</v>
      </c>
      <c r="B350" s="49"/>
      <c r="C350" s="49"/>
      <c r="D350" s="49" t="s">
        <v>4119</v>
      </c>
      <c r="E350" s="50"/>
      <c r="F350" s="50"/>
    </row>
    <row r="351">
      <c r="A351" s="51" t="s">
        <v>4137</v>
      </c>
      <c r="B351" s="51"/>
      <c r="C351" s="51"/>
      <c r="D351" s="51" t="s">
        <v>4119</v>
      </c>
      <c r="E351" s="52"/>
      <c r="F351" s="52"/>
    </row>
    <row r="352">
      <c r="A352" s="49" t="s">
        <v>4137</v>
      </c>
      <c r="B352" s="49"/>
      <c r="C352" s="49"/>
      <c r="D352" s="49" t="s">
        <v>4119</v>
      </c>
      <c r="E352" s="50"/>
      <c r="F352" s="50"/>
    </row>
    <row r="353">
      <c r="A353" s="51" t="s">
        <v>4119</v>
      </c>
      <c r="B353" s="51"/>
      <c r="C353" s="51"/>
      <c r="D353" s="51" t="s">
        <v>4119</v>
      </c>
      <c r="E353" s="52"/>
      <c r="F353" s="52"/>
    </row>
    <row r="354">
      <c r="A354" s="49" t="s">
        <v>4082</v>
      </c>
      <c r="B354" s="49"/>
      <c r="C354" s="49"/>
      <c r="D354" s="49" t="s">
        <v>4722</v>
      </c>
      <c r="E354" s="50"/>
      <c r="F354" s="50"/>
    </row>
    <row r="355">
      <c r="A355" s="51" t="s">
        <v>4137</v>
      </c>
      <c r="B355" s="51"/>
      <c r="C355" s="51"/>
      <c r="D355" s="51" t="s">
        <v>4119</v>
      </c>
      <c r="E355" s="52"/>
      <c r="F355" s="52"/>
    </row>
    <row r="356">
      <c r="A356" s="49" t="s">
        <v>4137</v>
      </c>
      <c r="B356" s="49"/>
      <c r="C356" s="49"/>
      <c r="D356" s="49" t="s">
        <v>4119</v>
      </c>
      <c r="E356" s="50"/>
      <c r="F356" s="50"/>
    </row>
    <row r="357">
      <c r="A357" s="51" t="s">
        <v>4137</v>
      </c>
      <c r="B357" s="51"/>
      <c r="C357" s="51"/>
      <c r="D357" s="51" t="s">
        <v>4119</v>
      </c>
      <c r="E357" s="52"/>
      <c r="F357" s="52"/>
    </row>
    <row r="358">
      <c r="A358" s="49" t="s">
        <v>4119</v>
      </c>
      <c r="B358" s="49"/>
      <c r="C358" s="49"/>
      <c r="D358" s="49" t="s">
        <v>4119</v>
      </c>
      <c r="E358" s="50"/>
      <c r="F358" s="50"/>
    </row>
    <row r="359">
      <c r="A359" s="51" t="s">
        <v>4137</v>
      </c>
      <c r="B359" s="51"/>
      <c r="C359" s="51"/>
      <c r="D359" s="51" t="s">
        <v>4119</v>
      </c>
      <c r="E359" s="52"/>
      <c r="F359" s="52"/>
    </row>
    <row r="360">
      <c r="A360" s="49" t="s">
        <v>4137</v>
      </c>
      <c r="B360" s="49"/>
      <c r="C360" s="49"/>
      <c r="D360" s="49" t="s">
        <v>4119</v>
      </c>
      <c r="E360" s="50"/>
      <c r="F360" s="50"/>
    </row>
    <row r="361">
      <c r="A361" s="51" t="s">
        <v>4137</v>
      </c>
      <c r="B361" s="51"/>
      <c r="C361" s="51"/>
      <c r="D361" s="51" t="s">
        <v>4119</v>
      </c>
      <c r="E361" s="52"/>
      <c r="F361" s="52"/>
    </row>
    <row r="362">
      <c r="A362" s="49" t="s">
        <v>4137</v>
      </c>
      <c r="B362" s="49"/>
      <c r="C362" s="49"/>
      <c r="D362" s="49" t="s">
        <v>4119</v>
      </c>
      <c r="E362" s="50"/>
      <c r="F362" s="50"/>
    </row>
    <row r="363">
      <c r="A363" s="51" t="s">
        <v>4137</v>
      </c>
      <c r="B363" s="51"/>
      <c r="C363" s="51"/>
      <c r="D363" s="51" t="s">
        <v>4119</v>
      </c>
      <c r="E363" s="52"/>
      <c r="F363" s="52"/>
    </row>
    <row r="364">
      <c r="A364" s="49" t="s">
        <v>4109</v>
      </c>
      <c r="B364" s="49"/>
      <c r="C364" s="49"/>
      <c r="D364" s="49" t="s">
        <v>4723</v>
      </c>
      <c r="E364" s="50"/>
      <c r="F364" s="50"/>
    </row>
    <row r="365">
      <c r="A365" s="51" t="s">
        <v>487</v>
      </c>
      <c r="B365" s="51"/>
      <c r="C365" s="51"/>
      <c r="D365" s="51" t="s">
        <v>4724</v>
      </c>
      <c r="E365" s="52"/>
      <c r="F365" s="52"/>
    </row>
    <row r="366">
      <c r="A366" s="49" t="s">
        <v>487</v>
      </c>
      <c r="B366" s="49"/>
      <c r="C366" s="49"/>
      <c r="D366" s="49" t="s">
        <v>4725</v>
      </c>
      <c r="E366" s="50"/>
      <c r="F366" s="50"/>
    </row>
    <row r="367">
      <c r="A367" s="51" t="s">
        <v>487</v>
      </c>
      <c r="B367" s="51"/>
      <c r="C367" s="51"/>
      <c r="D367" s="51" t="s">
        <v>4726</v>
      </c>
      <c r="E367" s="52"/>
      <c r="F367" s="52"/>
    </row>
    <row r="368">
      <c r="A368" s="49" t="s">
        <v>4109</v>
      </c>
      <c r="B368" s="49"/>
      <c r="C368" s="49"/>
      <c r="D368" s="49" t="s">
        <v>4727</v>
      </c>
      <c r="E368" s="50"/>
      <c r="F368" s="50"/>
    </row>
    <row r="369">
      <c r="A369" s="51" t="s">
        <v>4137</v>
      </c>
      <c r="B369" s="51"/>
      <c r="C369" s="51"/>
      <c r="D369" s="51" t="s">
        <v>4119</v>
      </c>
      <c r="E369" s="52"/>
      <c r="F369" s="52"/>
    </row>
    <row r="370">
      <c r="A370" s="49" t="s">
        <v>487</v>
      </c>
      <c r="B370" s="49"/>
      <c r="C370" s="49"/>
      <c r="D370" s="49" t="s">
        <v>4728</v>
      </c>
      <c r="E370" s="50"/>
      <c r="F370" s="50"/>
    </row>
    <row r="371">
      <c r="A371" s="51" t="s">
        <v>4103</v>
      </c>
      <c r="B371" s="51"/>
      <c r="C371" s="51"/>
      <c r="D371" s="51" t="s">
        <v>4729</v>
      </c>
      <c r="E371" s="52"/>
      <c r="F371" s="52"/>
    </row>
    <row r="372">
      <c r="A372" s="49" t="s">
        <v>4137</v>
      </c>
      <c r="B372" s="49"/>
      <c r="C372" s="49"/>
      <c r="D372" s="49" t="s">
        <v>4119</v>
      </c>
      <c r="E372" s="50"/>
      <c r="F372" s="50"/>
    </row>
    <row r="373">
      <c r="A373" s="51" t="s">
        <v>4137</v>
      </c>
      <c r="B373" s="51"/>
      <c r="C373" s="51"/>
      <c r="D373" s="51" t="s">
        <v>4119</v>
      </c>
      <c r="E373" s="52"/>
      <c r="F373" s="52"/>
    </row>
    <row r="374">
      <c r="A374" s="49" t="s">
        <v>4137</v>
      </c>
      <c r="B374" s="49"/>
      <c r="C374" s="49"/>
      <c r="D374" s="49" t="s">
        <v>4119</v>
      </c>
      <c r="E374" s="50"/>
      <c r="F374" s="50"/>
    </row>
    <row r="375">
      <c r="A375" s="51" t="s">
        <v>487</v>
      </c>
      <c r="B375" s="51"/>
      <c r="C375" s="51"/>
      <c r="D375" s="51" t="s">
        <v>4730</v>
      </c>
      <c r="E375" s="52"/>
      <c r="F375" s="52"/>
    </row>
    <row r="376">
      <c r="A376" s="49" t="s">
        <v>4137</v>
      </c>
      <c r="B376" s="49"/>
      <c r="C376" s="49"/>
      <c r="D376" s="49" t="s">
        <v>4119</v>
      </c>
      <c r="E376" s="50"/>
      <c r="F376" s="50"/>
    </row>
    <row r="377">
      <c r="A377" s="51" t="s">
        <v>4119</v>
      </c>
      <c r="B377" s="51"/>
      <c r="C377" s="51"/>
      <c r="D377" s="51" t="s">
        <v>4119</v>
      </c>
      <c r="E377" s="52"/>
      <c r="F377" s="52"/>
    </row>
    <row r="378">
      <c r="A378" s="49" t="s">
        <v>487</v>
      </c>
      <c r="B378" s="49"/>
      <c r="C378" s="49"/>
      <c r="D378" s="49" t="s">
        <v>4731</v>
      </c>
      <c r="E378" s="50"/>
      <c r="F378" s="50"/>
    </row>
    <row r="379">
      <c r="A379" s="51" t="s">
        <v>4137</v>
      </c>
      <c r="B379" s="51"/>
      <c r="C379" s="51"/>
      <c r="D379" s="51" t="s">
        <v>4119</v>
      </c>
      <c r="E379" s="52"/>
      <c r="F379" s="52"/>
    </row>
    <row r="380">
      <c r="A380" s="49" t="s">
        <v>4137</v>
      </c>
      <c r="B380" s="49"/>
      <c r="C380" s="49"/>
      <c r="D380" s="49" t="s">
        <v>4119</v>
      </c>
      <c r="E380" s="50"/>
      <c r="F380" s="50"/>
    </row>
    <row r="381">
      <c r="A381" s="51" t="s">
        <v>487</v>
      </c>
      <c r="B381" s="51"/>
      <c r="C381" s="51"/>
      <c r="D381" s="51" t="s">
        <v>4732</v>
      </c>
      <c r="E381" s="52"/>
      <c r="F381" s="52"/>
    </row>
    <row r="382">
      <c r="A382" s="49" t="s">
        <v>4137</v>
      </c>
      <c r="B382" s="49"/>
      <c r="C382" s="49"/>
      <c r="D382" s="49" t="s">
        <v>4119</v>
      </c>
      <c r="E382" s="50"/>
      <c r="F382" s="50"/>
    </row>
    <row r="383">
      <c r="A383" s="51" t="s">
        <v>4119</v>
      </c>
      <c r="B383" s="51"/>
      <c r="C383" s="51"/>
      <c r="D383" s="51" t="s">
        <v>4119</v>
      </c>
      <c r="E383" s="52"/>
      <c r="F383" s="52"/>
    </row>
    <row r="384">
      <c r="A384" s="49" t="s">
        <v>4137</v>
      </c>
      <c r="B384" s="49"/>
      <c r="C384" s="49"/>
      <c r="D384" s="49" t="s">
        <v>4119</v>
      </c>
      <c r="E384" s="50"/>
      <c r="F384" s="50"/>
    </row>
    <row r="385">
      <c r="A385" s="51" t="s">
        <v>4137</v>
      </c>
      <c r="B385" s="51"/>
      <c r="C385" s="51"/>
      <c r="D385" s="51" t="s">
        <v>4119</v>
      </c>
      <c r="E385" s="52"/>
      <c r="F385" s="52"/>
    </row>
    <row r="386">
      <c r="A386" s="49" t="s">
        <v>4137</v>
      </c>
      <c r="B386" s="49"/>
      <c r="C386" s="49"/>
      <c r="D386" s="49" t="s">
        <v>4119</v>
      </c>
      <c r="E386" s="50"/>
      <c r="F386" s="50"/>
    </row>
    <row r="387">
      <c r="A387" s="51" t="s">
        <v>487</v>
      </c>
      <c r="B387" s="51"/>
      <c r="C387" s="51"/>
      <c r="D387" s="51" t="s">
        <v>4733</v>
      </c>
      <c r="E387" s="52"/>
      <c r="F387" s="52"/>
    </row>
    <row r="388">
      <c r="A388" s="49" t="s">
        <v>487</v>
      </c>
      <c r="B388" s="49"/>
      <c r="C388" s="49"/>
      <c r="D388" s="49" t="s">
        <v>4734</v>
      </c>
      <c r="E388" s="50"/>
      <c r="F388" s="50"/>
    </row>
    <row r="389">
      <c r="A389" s="51" t="s">
        <v>4137</v>
      </c>
      <c r="B389" s="51"/>
      <c r="C389" s="51"/>
      <c r="D389" s="51" t="s">
        <v>4119</v>
      </c>
      <c r="E389" s="52"/>
      <c r="F389" s="52"/>
    </row>
    <row r="390">
      <c r="A390" s="49" t="s">
        <v>4137</v>
      </c>
      <c r="B390" s="49"/>
      <c r="C390" s="49"/>
      <c r="D390" s="49" t="s">
        <v>4119</v>
      </c>
      <c r="E390" s="50"/>
      <c r="F390" s="50"/>
    </row>
    <row r="391">
      <c r="A391" s="51" t="s">
        <v>4082</v>
      </c>
      <c r="B391" s="51"/>
      <c r="C391" s="51"/>
      <c r="D391" s="51" t="s">
        <v>4735</v>
      </c>
      <c r="E391" s="52"/>
      <c r="F391" s="52"/>
    </row>
    <row r="392">
      <c r="A392" s="49" t="s">
        <v>4137</v>
      </c>
      <c r="B392" s="49"/>
      <c r="C392" s="49"/>
      <c r="D392" s="49" t="s">
        <v>4119</v>
      </c>
      <c r="E392" s="50"/>
      <c r="F392" s="50"/>
    </row>
    <row r="393">
      <c r="A393" s="51" t="s">
        <v>4137</v>
      </c>
      <c r="B393" s="51"/>
      <c r="C393" s="51"/>
      <c r="D393" s="51" t="s">
        <v>4119</v>
      </c>
      <c r="E393" s="52"/>
      <c r="F393" s="52"/>
    </row>
    <row r="394">
      <c r="A394" s="49" t="s">
        <v>4137</v>
      </c>
      <c r="B394" s="49"/>
      <c r="C394" s="49"/>
      <c r="D394" s="49" t="s">
        <v>4119</v>
      </c>
      <c r="E394" s="50"/>
      <c r="F394" s="50"/>
    </row>
    <row r="395">
      <c r="A395" s="51" t="s">
        <v>4137</v>
      </c>
      <c r="B395" s="51"/>
      <c r="C395" s="51"/>
      <c r="D395" s="51" t="s">
        <v>4119</v>
      </c>
      <c r="E395" s="52"/>
      <c r="F395" s="52"/>
    </row>
    <row r="396">
      <c r="A396" s="49" t="s">
        <v>4119</v>
      </c>
      <c r="B396" s="49"/>
      <c r="C396" s="49"/>
      <c r="D396" s="49" t="s">
        <v>4119</v>
      </c>
      <c r="E396" s="50"/>
      <c r="F396" s="50"/>
    </row>
    <row r="397">
      <c r="A397" s="51" t="s">
        <v>487</v>
      </c>
      <c r="B397" s="51"/>
      <c r="C397" s="51"/>
      <c r="D397" s="51" t="s">
        <v>4736</v>
      </c>
      <c r="E397" s="52"/>
      <c r="F397" s="52"/>
    </row>
    <row r="398">
      <c r="A398" s="49" t="s">
        <v>487</v>
      </c>
      <c r="B398" s="49"/>
      <c r="C398" s="49"/>
      <c r="D398" s="49" t="s">
        <v>4737</v>
      </c>
      <c r="E398" s="50"/>
      <c r="F398" s="50"/>
    </row>
    <row r="399">
      <c r="A399" s="51" t="s">
        <v>4103</v>
      </c>
      <c r="B399" s="51"/>
      <c r="C399" s="51"/>
      <c r="D399" s="51" t="s">
        <v>4738</v>
      </c>
      <c r="E399" s="52"/>
      <c r="F399" s="52"/>
    </row>
    <row r="400">
      <c r="A400" s="49" t="s">
        <v>4137</v>
      </c>
      <c r="B400" s="49"/>
      <c r="C400" s="49"/>
      <c r="D400" s="49" t="s">
        <v>4119</v>
      </c>
      <c r="E400" s="50"/>
      <c r="F400" s="50"/>
    </row>
    <row r="401">
      <c r="A401" s="51" t="s">
        <v>4119</v>
      </c>
      <c r="B401" s="51"/>
      <c r="C401" s="51"/>
      <c r="D401" s="51" t="s">
        <v>4119</v>
      </c>
      <c r="E401" s="52"/>
      <c r="F401" s="52"/>
    </row>
    <row r="402">
      <c r="A402" s="49" t="s">
        <v>4720</v>
      </c>
      <c r="B402" s="49"/>
      <c r="C402" s="49"/>
      <c r="D402" s="49" t="s">
        <v>4739</v>
      </c>
      <c r="E402" s="50"/>
      <c r="F402" s="50"/>
    </row>
    <row r="403">
      <c r="A403" s="51" t="s">
        <v>4137</v>
      </c>
      <c r="B403" s="51"/>
      <c r="C403" s="51"/>
      <c r="D403" s="51" t="s">
        <v>4119</v>
      </c>
      <c r="E403" s="52"/>
      <c r="F403" s="52"/>
    </row>
    <row r="404">
      <c r="A404" s="49" t="s">
        <v>4119</v>
      </c>
      <c r="B404" s="49"/>
      <c r="C404" s="49"/>
      <c r="D404" s="49" t="s">
        <v>4119</v>
      </c>
      <c r="E404" s="50"/>
      <c r="F404" s="50"/>
    </row>
    <row r="405">
      <c r="A405" s="51" t="s">
        <v>4119</v>
      </c>
      <c r="B405" s="51"/>
      <c r="C405" s="51"/>
      <c r="D405" s="51" t="s">
        <v>4119</v>
      </c>
      <c r="E405" s="52"/>
      <c r="F405" s="52"/>
    </row>
    <row r="406">
      <c r="A406" s="49" t="s">
        <v>4137</v>
      </c>
      <c r="B406" s="49"/>
      <c r="C406" s="49"/>
      <c r="D406" s="49" t="s">
        <v>4119</v>
      </c>
      <c r="E406" s="50"/>
      <c r="F406" s="50"/>
    </row>
    <row r="407">
      <c r="A407" s="51" t="s">
        <v>4137</v>
      </c>
      <c r="B407" s="51"/>
      <c r="C407" s="51"/>
      <c r="D407" s="51" t="s">
        <v>4119</v>
      </c>
      <c r="E407" s="52"/>
      <c r="F407" s="52"/>
    </row>
    <row r="408">
      <c r="A408" s="49" t="s">
        <v>4137</v>
      </c>
      <c r="B408" s="49"/>
      <c r="C408" s="49"/>
      <c r="D408" s="49" t="s">
        <v>4740</v>
      </c>
      <c r="E408" s="50"/>
      <c r="F408" s="50"/>
    </row>
    <row r="409">
      <c r="A409" s="51" t="s">
        <v>4716</v>
      </c>
      <c r="B409" s="51"/>
      <c r="C409" s="51"/>
      <c r="D409" s="51" t="s">
        <v>4741</v>
      </c>
      <c r="E409" s="52"/>
      <c r="F409" s="52"/>
    </row>
    <row r="410">
      <c r="A410" s="49" t="s">
        <v>4137</v>
      </c>
      <c r="B410" s="49"/>
      <c r="C410" s="49"/>
      <c r="D410" s="49" t="s">
        <v>4119</v>
      </c>
      <c r="E410" s="50"/>
      <c r="F410" s="50"/>
    </row>
    <row r="411">
      <c r="A411" s="51" t="s">
        <v>4137</v>
      </c>
      <c r="B411" s="51"/>
      <c r="C411" s="51"/>
      <c r="D411" s="51" t="s">
        <v>4119</v>
      </c>
      <c r="E411" s="52"/>
      <c r="F411" s="52"/>
    </row>
    <row r="412">
      <c r="A412" s="49" t="s">
        <v>4137</v>
      </c>
      <c r="B412" s="49"/>
      <c r="C412" s="49"/>
      <c r="D412" s="49" t="s">
        <v>4119</v>
      </c>
      <c r="E412" s="50"/>
      <c r="F412" s="50"/>
    </row>
    <row r="413">
      <c r="A413" s="51" t="s">
        <v>4137</v>
      </c>
      <c r="B413" s="51"/>
      <c r="C413" s="51"/>
      <c r="D413" s="51" t="s">
        <v>4119</v>
      </c>
      <c r="E413" s="52"/>
      <c r="F413" s="52"/>
    </row>
    <row r="414">
      <c r="A414" s="49" t="s">
        <v>4137</v>
      </c>
      <c r="B414" s="49"/>
      <c r="C414" s="49"/>
      <c r="D414" s="49" t="s">
        <v>4119</v>
      </c>
      <c r="E414" s="50"/>
      <c r="F414" s="50"/>
    </row>
    <row r="415">
      <c r="A415" s="51" t="s">
        <v>4119</v>
      </c>
      <c r="B415" s="51"/>
      <c r="C415" s="51"/>
      <c r="D415" s="51" t="s">
        <v>4119</v>
      </c>
      <c r="E415" s="52"/>
      <c r="F415" s="52"/>
    </row>
    <row r="416">
      <c r="A416" s="49" t="s">
        <v>4137</v>
      </c>
      <c r="B416" s="49"/>
      <c r="C416" s="49"/>
      <c r="D416" s="49" t="s">
        <v>4119</v>
      </c>
      <c r="E416" s="50"/>
      <c r="F416" s="50"/>
    </row>
    <row r="417">
      <c r="A417" s="51" t="s">
        <v>487</v>
      </c>
      <c r="B417" s="51"/>
      <c r="C417" s="51"/>
      <c r="D417" s="51" t="s">
        <v>4742</v>
      </c>
      <c r="E417" s="52"/>
      <c r="F417" s="52"/>
    </row>
    <row r="418">
      <c r="A418" s="49" t="s">
        <v>4137</v>
      </c>
      <c r="B418" s="49"/>
      <c r="C418" s="49"/>
      <c r="D418" s="49" t="s">
        <v>4119</v>
      </c>
      <c r="E418" s="50"/>
      <c r="F418" s="50"/>
    </row>
    <row r="419">
      <c r="A419" s="51" t="s">
        <v>487</v>
      </c>
      <c r="B419" s="51"/>
      <c r="C419" s="51"/>
      <c r="D419" s="51" t="s">
        <v>4743</v>
      </c>
      <c r="E419" s="52"/>
      <c r="F419" s="52"/>
    </row>
    <row r="420">
      <c r="A420" s="49" t="s">
        <v>4137</v>
      </c>
      <c r="B420" s="49"/>
      <c r="C420" s="49"/>
      <c r="D420" s="49" t="s">
        <v>4119</v>
      </c>
      <c r="E420" s="50"/>
      <c r="F420" s="50"/>
    </row>
    <row r="421">
      <c r="A421" s="51" t="s">
        <v>487</v>
      </c>
      <c r="B421" s="51"/>
      <c r="C421" s="51"/>
      <c r="D421" s="51" t="s">
        <v>4744</v>
      </c>
      <c r="E421" s="52"/>
      <c r="F421" s="52"/>
    </row>
    <row r="422">
      <c r="A422" s="49" t="s">
        <v>4119</v>
      </c>
      <c r="B422" s="49"/>
      <c r="C422" s="49"/>
      <c r="D422" s="49" t="s">
        <v>4119</v>
      </c>
      <c r="E422" s="50"/>
      <c r="F422" s="50"/>
    </row>
    <row r="423">
      <c r="A423" s="51" t="s">
        <v>4409</v>
      </c>
      <c r="B423" s="58"/>
      <c r="C423" s="58"/>
      <c r="D423" s="58" t="s">
        <v>4745</v>
      </c>
      <c r="E423" s="59"/>
      <c r="F423" s="59"/>
    </row>
    <row r="424">
      <c r="A424" s="49" t="s">
        <v>4137</v>
      </c>
      <c r="B424" s="49"/>
      <c r="C424" s="49"/>
      <c r="D424" s="49" t="s">
        <v>4119</v>
      </c>
      <c r="E424" s="50"/>
      <c r="F424" s="50"/>
    </row>
    <row r="425">
      <c r="A425" s="51" t="s">
        <v>4137</v>
      </c>
      <c r="B425" s="51"/>
      <c r="C425" s="51"/>
      <c r="D425" s="51" t="s">
        <v>4119</v>
      </c>
      <c r="E425" s="52"/>
      <c r="F425" s="52"/>
    </row>
    <row r="426">
      <c r="A426" s="49" t="s">
        <v>4137</v>
      </c>
      <c r="B426" s="49"/>
      <c r="C426" s="49"/>
      <c r="D426" s="49" t="s">
        <v>4119</v>
      </c>
      <c r="E426" s="50"/>
      <c r="F426" s="50"/>
    </row>
    <row r="427">
      <c r="A427" s="51" t="s">
        <v>4746</v>
      </c>
      <c r="B427" s="51"/>
      <c r="C427" s="51"/>
      <c r="D427" s="51" t="s">
        <v>4747</v>
      </c>
      <c r="E427" s="52"/>
      <c r="F427" s="52"/>
    </row>
    <row r="428">
      <c r="A428" s="49" t="s">
        <v>4137</v>
      </c>
      <c r="B428" s="49"/>
      <c r="C428" s="49"/>
      <c r="D428" s="49" t="s">
        <v>4119</v>
      </c>
      <c r="E428" s="50"/>
      <c r="F428" s="50"/>
    </row>
    <row r="429">
      <c r="A429" s="51" t="s">
        <v>4109</v>
      </c>
      <c r="B429" s="51"/>
      <c r="C429" s="51"/>
      <c r="D429" s="51" t="s">
        <v>4748</v>
      </c>
      <c r="E429" s="52"/>
      <c r="F429" s="52"/>
    </row>
    <row r="430">
      <c r="A430" s="49" t="s">
        <v>487</v>
      </c>
      <c r="B430" s="49"/>
      <c r="C430" s="49"/>
      <c r="D430" s="49" t="s">
        <v>4749</v>
      </c>
      <c r="E430" s="50"/>
      <c r="F430" s="50"/>
    </row>
    <row r="431">
      <c r="A431" s="51" t="s">
        <v>487</v>
      </c>
      <c r="B431" s="51"/>
      <c r="C431" s="51"/>
      <c r="D431" s="51" t="s">
        <v>4558</v>
      </c>
      <c r="E431" s="52"/>
      <c r="F431" s="52"/>
    </row>
    <row r="432">
      <c r="A432" s="49" t="s">
        <v>4137</v>
      </c>
      <c r="B432" s="49"/>
      <c r="C432" s="49"/>
      <c r="D432" s="49" t="s">
        <v>4119</v>
      </c>
      <c r="E432" s="50"/>
      <c r="F432" s="50"/>
    </row>
    <row r="433">
      <c r="A433" s="51" t="s">
        <v>4137</v>
      </c>
      <c r="B433" s="51"/>
      <c r="C433" s="51"/>
      <c r="D433" s="51" t="s">
        <v>4119</v>
      </c>
      <c r="E433" s="52"/>
      <c r="F433" s="52"/>
    </row>
    <row r="434">
      <c r="A434" s="49" t="s">
        <v>4137</v>
      </c>
      <c r="B434" s="49"/>
      <c r="C434" s="49"/>
      <c r="D434" s="49" t="s">
        <v>4119</v>
      </c>
      <c r="E434" s="50"/>
      <c r="F434" s="50"/>
    </row>
    <row r="435">
      <c r="A435" s="51" t="s">
        <v>4137</v>
      </c>
      <c r="B435" s="51"/>
      <c r="C435" s="51"/>
      <c r="D435" s="51" t="s">
        <v>4119</v>
      </c>
      <c r="E435" s="52"/>
      <c r="F435" s="52"/>
    </row>
    <row r="436">
      <c r="A436" s="49" t="s">
        <v>4750</v>
      </c>
      <c r="B436" s="49"/>
      <c r="C436" s="49"/>
      <c r="D436" s="49" t="s">
        <v>4751</v>
      </c>
      <c r="E436" s="50"/>
      <c r="F436" s="50"/>
    </row>
    <row r="437">
      <c r="A437" s="51" t="s">
        <v>4137</v>
      </c>
      <c r="B437" s="51"/>
      <c r="C437" s="51"/>
      <c r="D437" s="51" t="s">
        <v>4119</v>
      </c>
      <c r="E437" s="52"/>
      <c r="F437" s="52"/>
    </row>
    <row r="438">
      <c r="A438" s="49" t="s">
        <v>4137</v>
      </c>
      <c r="B438" s="49"/>
      <c r="C438" s="49"/>
      <c r="D438" s="49" t="s">
        <v>4119</v>
      </c>
      <c r="E438" s="50"/>
      <c r="F438" s="50"/>
    </row>
    <row r="439">
      <c r="A439" s="51" t="s">
        <v>4137</v>
      </c>
      <c r="B439" s="51"/>
      <c r="C439" s="51"/>
      <c r="D439" s="51" t="s">
        <v>4119</v>
      </c>
      <c r="E439" s="52"/>
      <c r="F439" s="52"/>
    </row>
    <row r="440">
      <c r="A440" s="49" t="s">
        <v>4137</v>
      </c>
      <c r="B440" s="49"/>
      <c r="C440" s="49"/>
      <c r="D440" s="49" t="s">
        <v>4119</v>
      </c>
      <c r="E440" s="50"/>
      <c r="F440" s="50"/>
    </row>
    <row r="441">
      <c r="A441" s="51" t="s">
        <v>4137</v>
      </c>
      <c r="B441" s="51"/>
      <c r="C441" s="51"/>
      <c r="D441" s="51" t="s">
        <v>4119</v>
      </c>
      <c r="E441" s="52"/>
      <c r="F441" s="52"/>
    </row>
    <row r="442">
      <c r="A442" s="49" t="s">
        <v>4137</v>
      </c>
      <c r="B442" s="49"/>
      <c r="C442" s="49"/>
      <c r="D442" s="49" t="s">
        <v>4119</v>
      </c>
      <c r="E442" s="50"/>
      <c r="F442" s="50"/>
    </row>
    <row r="443">
      <c r="A443" s="51" t="s">
        <v>4137</v>
      </c>
      <c r="B443" s="51"/>
      <c r="C443" s="51"/>
      <c r="D443" s="51" t="s">
        <v>4119</v>
      </c>
      <c r="E443" s="52"/>
      <c r="F443" s="52"/>
    </row>
    <row r="444">
      <c r="A444" s="49" t="s">
        <v>4137</v>
      </c>
      <c r="B444" s="49"/>
      <c r="C444" s="49"/>
      <c r="D444" s="49" t="s">
        <v>4119</v>
      </c>
      <c r="E444" s="50"/>
      <c r="F444" s="50"/>
    </row>
    <row r="445">
      <c r="A445" s="51" t="s">
        <v>4137</v>
      </c>
      <c r="B445" s="51"/>
      <c r="C445" s="51"/>
      <c r="D445" s="51" t="s">
        <v>4119</v>
      </c>
      <c r="E445" s="52"/>
      <c r="F445" s="52"/>
    </row>
    <row r="446">
      <c r="A446" s="49" t="s">
        <v>4409</v>
      </c>
      <c r="B446" s="49"/>
      <c r="C446" s="49"/>
      <c r="D446" s="49" t="s">
        <v>4752</v>
      </c>
      <c r="E446" s="50"/>
      <c r="F446" s="50"/>
    </row>
    <row r="447">
      <c r="A447" s="51" t="s">
        <v>4137</v>
      </c>
      <c r="B447" s="51"/>
      <c r="C447" s="51"/>
      <c r="D447" s="51" t="s">
        <v>4119</v>
      </c>
      <c r="E447" s="52"/>
      <c r="F447" s="52"/>
    </row>
    <row r="448">
      <c r="A448" s="49" t="s">
        <v>4103</v>
      </c>
      <c r="B448" s="49"/>
      <c r="C448" s="49"/>
      <c r="D448" s="49" t="s">
        <v>4753</v>
      </c>
      <c r="E448" s="50"/>
      <c r="F448" s="50"/>
    </row>
    <row r="449">
      <c r="A449" s="51" t="s">
        <v>487</v>
      </c>
      <c r="B449" s="51"/>
      <c r="C449" s="51"/>
      <c r="D449" s="51" t="s">
        <v>4754</v>
      </c>
      <c r="E449" s="52"/>
      <c r="F449" s="52"/>
    </row>
    <row r="450">
      <c r="A450" s="49" t="s">
        <v>4082</v>
      </c>
      <c r="B450" s="49"/>
      <c r="C450" s="49"/>
      <c r="D450" s="49" t="s">
        <v>4755</v>
      </c>
      <c r="E450" s="50"/>
      <c r="F450" s="50"/>
    </row>
    <row r="451">
      <c r="A451" s="51" t="s">
        <v>4137</v>
      </c>
      <c r="B451" s="51"/>
      <c r="C451" s="51"/>
      <c r="D451" s="51" t="s">
        <v>4119</v>
      </c>
      <c r="E451" s="52"/>
      <c r="F451" s="52"/>
    </row>
    <row r="452">
      <c r="A452" s="49" t="s">
        <v>4756</v>
      </c>
      <c r="B452" s="49"/>
      <c r="C452" s="49"/>
      <c r="D452" s="49" t="s">
        <v>4757</v>
      </c>
      <c r="E452" s="50"/>
      <c r="F452" s="50"/>
    </row>
    <row r="453">
      <c r="A453" s="51" t="s">
        <v>487</v>
      </c>
      <c r="B453" s="51"/>
      <c r="C453" s="51"/>
      <c r="D453" s="51" t="s">
        <v>4758</v>
      </c>
      <c r="E453" s="52"/>
      <c r="F453" s="52"/>
    </row>
    <row r="454">
      <c r="A454" s="49" t="s">
        <v>4137</v>
      </c>
      <c r="B454" s="49"/>
      <c r="C454" s="49"/>
      <c r="D454" s="49" t="s">
        <v>4759</v>
      </c>
      <c r="E454" s="50"/>
      <c r="F454" s="50"/>
    </row>
    <row r="455">
      <c r="A455" s="51" t="s">
        <v>487</v>
      </c>
      <c r="B455" s="51"/>
      <c r="C455" s="51"/>
      <c r="D455" s="51" t="s">
        <v>4760</v>
      </c>
      <c r="E455" s="52"/>
      <c r="F455" s="52"/>
    </row>
    <row r="456">
      <c r="A456" s="49" t="s">
        <v>4119</v>
      </c>
      <c r="B456" s="49"/>
      <c r="C456" s="49"/>
      <c r="D456" s="49" t="s">
        <v>4119</v>
      </c>
      <c r="E456" s="50"/>
      <c r="F456" s="50"/>
    </row>
    <row r="457">
      <c r="A457" s="51" t="s">
        <v>4137</v>
      </c>
      <c r="B457" s="51"/>
      <c r="C457" s="51"/>
      <c r="D457" s="51" t="s">
        <v>4119</v>
      </c>
      <c r="E457" s="52"/>
      <c r="F457" s="52"/>
    </row>
    <row r="458">
      <c r="A458" s="49" t="s">
        <v>487</v>
      </c>
      <c r="B458" s="49"/>
      <c r="C458" s="49"/>
      <c r="D458" s="49" t="s">
        <v>4761</v>
      </c>
      <c r="E458" s="50"/>
      <c r="F458" s="50"/>
    </row>
    <row r="459">
      <c r="A459" s="51" t="s">
        <v>487</v>
      </c>
      <c r="B459" s="51"/>
      <c r="C459" s="51"/>
      <c r="D459" s="51" t="s">
        <v>4762</v>
      </c>
      <c r="E459" s="52"/>
      <c r="F459" s="52"/>
    </row>
    <row r="460">
      <c r="A460" s="49" t="s">
        <v>487</v>
      </c>
      <c r="B460" s="49"/>
      <c r="C460" s="49"/>
      <c r="D460" s="49" t="s">
        <v>4763</v>
      </c>
      <c r="E460" s="50"/>
      <c r="F460" s="50"/>
    </row>
    <row r="461">
      <c r="A461" s="51" t="s">
        <v>487</v>
      </c>
      <c r="B461" s="51"/>
      <c r="C461" s="51"/>
      <c r="D461" s="51" t="s">
        <v>4764</v>
      </c>
      <c r="E461" s="52"/>
      <c r="F461" s="52"/>
    </row>
    <row r="462">
      <c r="A462" s="49" t="s">
        <v>4119</v>
      </c>
      <c r="B462" s="49"/>
      <c r="C462" s="49"/>
      <c r="D462" s="49" t="s">
        <v>4119</v>
      </c>
      <c r="E462" s="50"/>
      <c r="F462" s="50"/>
    </row>
    <row r="463">
      <c r="A463" s="51" t="s">
        <v>4103</v>
      </c>
      <c r="B463" s="51"/>
      <c r="C463" s="51"/>
      <c r="D463" s="51" t="s">
        <v>4765</v>
      </c>
      <c r="E463" s="52"/>
      <c r="F463" s="52"/>
    </row>
    <row r="464">
      <c r="A464" s="49" t="s">
        <v>4137</v>
      </c>
      <c r="B464" s="49"/>
      <c r="C464" s="49"/>
      <c r="D464" s="49" t="s">
        <v>4119</v>
      </c>
      <c r="E464" s="50"/>
      <c r="F464" s="50"/>
    </row>
    <row r="465">
      <c r="A465" s="51" t="s">
        <v>4103</v>
      </c>
      <c r="B465" s="51"/>
      <c r="C465" s="51"/>
      <c r="D465" s="51" t="s">
        <v>4766</v>
      </c>
      <c r="E465" s="52"/>
      <c r="F465" s="52"/>
    </row>
    <row r="466">
      <c r="A466" s="49" t="s">
        <v>487</v>
      </c>
      <c r="B466" s="49"/>
      <c r="C466" s="49"/>
      <c r="D466" s="49" t="s">
        <v>4767</v>
      </c>
      <c r="E466" s="50"/>
      <c r="F466" s="50"/>
    </row>
    <row r="467">
      <c r="A467" s="51" t="s">
        <v>4137</v>
      </c>
      <c r="B467" s="51"/>
      <c r="C467" s="51"/>
      <c r="D467" s="51" t="s">
        <v>4119</v>
      </c>
      <c r="E467" s="52"/>
      <c r="F467" s="52"/>
    </row>
    <row r="468">
      <c r="A468" s="49" t="s">
        <v>4082</v>
      </c>
      <c r="B468" s="49"/>
      <c r="C468" s="49"/>
      <c r="D468" s="49" t="s">
        <v>4768</v>
      </c>
      <c r="E468" s="50"/>
      <c r="F468" s="50"/>
    </row>
    <row r="469">
      <c r="A469" s="51" t="s">
        <v>4167</v>
      </c>
      <c r="B469" s="51"/>
      <c r="C469" s="51"/>
      <c r="D469" s="51" t="s">
        <v>4369</v>
      </c>
      <c r="E469" s="52"/>
      <c r="F469" s="52"/>
    </row>
    <row r="470">
      <c r="A470" s="49" t="s">
        <v>4137</v>
      </c>
      <c r="B470" s="49"/>
      <c r="C470" s="49"/>
      <c r="D470" s="49" t="s">
        <v>4119</v>
      </c>
      <c r="E470" s="50"/>
      <c r="F470" s="50"/>
    </row>
    <row r="471">
      <c r="A471" s="51" t="s">
        <v>4103</v>
      </c>
      <c r="B471" s="51"/>
      <c r="C471" s="51"/>
      <c r="D471" s="51" t="s">
        <v>4769</v>
      </c>
      <c r="E471" s="52"/>
      <c r="F471" s="52"/>
    </row>
    <row r="472">
      <c r="A472" s="49" t="s">
        <v>4582</v>
      </c>
      <c r="B472" s="49"/>
      <c r="C472" s="49"/>
      <c r="D472" s="49" t="s">
        <v>4770</v>
      </c>
      <c r="E472" s="50"/>
      <c r="F472" s="50"/>
    </row>
    <row r="473">
      <c r="A473" s="51" t="s">
        <v>487</v>
      </c>
      <c r="B473" s="51"/>
      <c r="C473" s="51"/>
      <c r="D473" s="51" t="s">
        <v>4771</v>
      </c>
      <c r="E473" s="52"/>
      <c r="F473" s="52"/>
    </row>
    <row r="474">
      <c r="A474" s="49" t="s">
        <v>4167</v>
      </c>
      <c r="B474" s="49"/>
      <c r="C474" s="49"/>
      <c r="D474" s="49" t="s">
        <v>4194</v>
      </c>
      <c r="E474" s="50"/>
      <c r="F474" s="50"/>
    </row>
    <row r="475">
      <c r="A475" s="51" t="s">
        <v>4119</v>
      </c>
      <c r="B475" s="51"/>
      <c r="C475" s="51"/>
      <c r="D475" s="51" t="s">
        <v>4119</v>
      </c>
      <c r="E475" s="52"/>
      <c r="F475" s="52"/>
    </row>
    <row r="476">
      <c r="A476" s="49" t="s">
        <v>4137</v>
      </c>
      <c r="B476" s="49"/>
      <c r="C476" s="49"/>
      <c r="D476" s="49" t="s">
        <v>4119</v>
      </c>
      <c r="E476" s="50"/>
      <c r="F476" s="50"/>
    </row>
    <row r="477">
      <c r="A477" s="51" t="s">
        <v>4137</v>
      </c>
      <c r="B477" s="51"/>
      <c r="C477" s="51"/>
      <c r="D477" s="51" t="s">
        <v>4137</v>
      </c>
      <c r="E477" s="52"/>
      <c r="F477" s="52"/>
    </row>
    <row r="478">
      <c r="A478" s="49" t="s">
        <v>487</v>
      </c>
      <c r="B478" s="49"/>
      <c r="C478" s="49"/>
      <c r="D478" s="49" t="s">
        <v>475</v>
      </c>
      <c r="E478" s="50"/>
      <c r="F478" s="50"/>
    </row>
    <row r="479">
      <c r="A479" s="51" t="s">
        <v>487</v>
      </c>
      <c r="B479" s="51"/>
      <c r="C479" s="51"/>
      <c r="D479" s="51" t="s">
        <v>4772</v>
      </c>
      <c r="E479" s="52"/>
      <c r="F479" s="52"/>
    </row>
    <row r="480">
      <c r="A480" s="49" t="s">
        <v>487</v>
      </c>
      <c r="B480" s="49"/>
      <c r="C480" s="49"/>
      <c r="D480" s="49" t="s">
        <v>4773</v>
      </c>
      <c r="E480" s="50"/>
      <c r="F480" s="50"/>
    </row>
    <row r="481">
      <c r="A481" s="51" t="s">
        <v>487</v>
      </c>
      <c r="B481" s="51"/>
      <c r="C481" s="51"/>
      <c r="D481" s="51" t="s">
        <v>4774</v>
      </c>
      <c r="E481" s="52"/>
      <c r="F481" s="52"/>
    </row>
    <row r="482">
      <c r="A482" s="49" t="s">
        <v>4775</v>
      </c>
      <c r="B482" s="49"/>
      <c r="C482" s="49"/>
      <c r="D482" s="49" t="s">
        <v>4776</v>
      </c>
      <c r="E482" s="50"/>
      <c r="F482" s="50"/>
    </row>
    <row r="483">
      <c r="A483" s="51" t="s">
        <v>487</v>
      </c>
      <c r="B483" s="51"/>
      <c r="C483" s="51"/>
      <c r="D483" s="51" t="s">
        <v>4194</v>
      </c>
      <c r="E483" s="52"/>
      <c r="F483" s="52"/>
    </row>
    <row r="484">
      <c r="A484" s="49" t="s">
        <v>4109</v>
      </c>
      <c r="B484" s="49"/>
      <c r="C484" s="49"/>
      <c r="D484" s="49" t="s">
        <v>4777</v>
      </c>
      <c r="E484" s="50"/>
      <c r="F484" s="50"/>
    </row>
    <row r="485">
      <c r="A485" s="51" t="s">
        <v>4582</v>
      </c>
      <c r="B485" s="51"/>
      <c r="C485" s="51"/>
      <c r="D485" s="51" t="s">
        <v>4778</v>
      </c>
      <c r="E485" s="52"/>
      <c r="F485" s="52"/>
    </row>
    <row r="486">
      <c r="A486" s="49" t="s">
        <v>487</v>
      </c>
      <c r="B486" s="49"/>
      <c r="C486" s="49"/>
      <c r="D486" s="49" t="s">
        <v>4779</v>
      </c>
      <c r="E486" s="50"/>
      <c r="F486" s="50"/>
    </row>
    <row r="487">
      <c r="A487" s="51" t="s">
        <v>4103</v>
      </c>
      <c r="B487" s="51"/>
      <c r="C487" s="51"/>
      <c r="D487" s="51" t="s">
        <v>4780</v>
      </c>
      <c r="E487" s="52"/>
      <c r="F487" s="52"/>
    </row>
    <row r="488">
      <c r="A488" s="49" t="s">
        <v>4137</v>
      </c>
      <c r="B488" s="49"/>
      <c r="C488" s="49"/>
      <c r="D488" s="49" t="s">
        <v>4449</v>
      </c>
      <c r="E488" s="50"/>
      <c r="F488" s="50"/>
    </row>
    <row r="489">
      <c r="A489" s="51" t="s">
        <v>4103</v>
      </c>
      <c r="B489" s="51"/>
      <c r="C489" s="51"/>
      <c r="D489" s="51" t="s">
        <v>4781</v>
      </c>
      <c r="E489" s="52"/>
      <c r="F489" s="52"/>
    </row>
    <row r="490">
      <c r="A490" s="49" t="s">
        <v>4716</v>
      </c>
      <c r="B490" s="49"/>
      <c r="C490" s="49"/>
      <c r="D490" s="49" t="s">
        <v>4782</v>
      </c>
      <c r="E490" s="50"/>
      <c r="F490" s="50"/>
    </row>
    <row r="491">
      <c r="A491" s="51" t="s">
        <v>4119</v>
      </c>
      <c r="B491" s="51"/>
      <c r="C491" s="51"/>
      <c r="D491" s="51" t="s">
        <v>4119</v>
      </c>
      <c r="E491" s="52"/>
      <c r="F491" s="52"/>
    </row>
    <row r="492">
      <c r="A492" s="49" t="s">
        <v>4137</v>
      </c>
      <c r="B492" s="49"/>
      <c r="C492" s="49"/>
      <c r="D492" s="49" t="s">
        <v>4119</v>
      </c>
      <c r="E492" s="50"/>
      <c r="F492" s="50"/>
    </row>
    <row r="493">
      <c r="A493" s="51" t="s">
        <v>4137</v>
      </c>
      <c r="B493" s="51"/>
      <c r="C493" s="51"/>
      <c r="D493" s="51" t="s">
        <v>4119</v>
      </c>
      <c r="E493" s="52"/>
      <c r="F493" s="52"/>
    </row>
    <row r="494">
      <c r="A494" s="49" t="s">
        <v>487</v>
      </c>
      <c r="B494" s="49"/>
      <c r="C494" s="49"/>
      <c r="D494" s="49" t="s">
        <v>4783</v>
      </c>
      <c r="E494" s="50"/>
      <c r="F494" s="50"/>
    </row>
    <row r="495">
      <c r="A495" s="51" t="s">
        <v>487</v>
      </c>
      <c r="B495" s="51"/>
      <c r="C495" s="51"/>
      <c r="D495" s="51" t="s">
        <v>4784</v>
      </c>
      <c r="E495" s="52"/>
      <c r="F495" s="52"/>
    </row>
    <row r="496">
      <c r="A496" s="49" t="s">
        <v>487</v>
      </c>
      <c r="B496" s="49"/>
      <c r="C496" s="49"/>
      <c r="D496" s="49" t="s">
        <v>4785</v>
      </c>
      <c r="E496" s="50"/>
      <c r="F496" s="50"/>
    </row>
    <row r="497">
      <c r="A497" s="51" t="s">
        <v>4137</v>
      </c>
      <c r="B497" s="51"/>
      <c r="C497" s="51"/>
      <c r="D497" s="51" t="s">
        <v>4119</v>
      </c>
      <c r="E497" s="52"/>
      <c r="F497" s="52"/>
    </row>
    <row r="498">
      <c r="A498" s="49" t="s">
        <v>487</v>
      </c>
      <c r="B498" s="49"/>
      <c r="C498" s="49"/>
      <c r="D498" s="49" t="s">
        <v>4786</v>
      </c>
      <c r="E498" s="50"/>
      <c r="F498" s="50"/>
    </row>
    <row r="499">
      <c r="A499" s="51" t="s">
        <v>487</v>
      </c>
      <c r="B499" s="51"/>
      <c r="C499" s="51"/>
      <c r="D499" s="51" t="s">
        <v>4787</v>
      </c>
      <c r="E499" s="52"/>
      <c r="F499" s="52"/>
    </row>
    <row r="500">
      <c r="A500" s="49" t="s">
        <v>4137</v>
      </c>
      <c r="B500" s="49"/>
      <c r="C500" s="49"/>
      <c r="D500" s="49" t="s">
        <v>4119</v>
      </c>
      <c r="E500" s="50"/>
      <c r="F500" s="50"/>
    </row>
    <row r="501">
      <c r="A501" s="51" t="s">
        <v>487</v>
      </c>
      <c r="B501" s="51"/>
      <c r="C501" s="51"/>
      <c r="D501" s="51" t="s">
        <v>4788</v>
      </c>
      <c r="E501" s="52"/>
      <c r="F501" s="52"/>
    </row>
    <row r="502">
      <c r="A502" s="49" t="s">
        <v>487</v>
      </c>
      <c r="B502" s="54"/>
      <c r="C502" s="54"/>
      <c r="D502" s="54" t="s">
        <v>4789</v>
      </c>
      <c r="E502" s="55"/>
      <c r="F502" s="55"/>
    </row>
    <row r="503">
      <c r="A503" s="51" t="s">
        <v>487</v>
      </c>
      <c r="B503" s="51"/>
      <c r="C503" s="51"/>
      <c r="D503" s="51" t="s">
        <v>4790</v>
      </c>
      <c r="E503" s="52"/>
      <c r="F503" s="52"/>
    </row>
    <row r="504">
      <c r="A504" s="49" t="s">
        <v>4103</v>
      </c>
      <c r="B504" s="49"/>
      <c r="C504" s="49"/>
      <c r="D504" s="49" t="s">
        <v>4791</v>
      </c>
      <c r="E504" s="50"/>
      <c r="F504" s="50"/>
    </row>
    <row r="505">
      <c r="A505" s="51" t="s">
        <v>487</v>
      </c>
      <c r="B505" s="51"/>
      <c r="C505" s="51"/>
      <c r="D505" s="51" t="s">
        <v>4792</v>
      </c>
      <c r="E505" s="52"/>
      <c r="F505" s="52"/>
    </row>
    <row r="506">
      <c r="A506" s="49" t="s">
        <v>4119</v>
      </c>
      <c r="B506" s="49"/>
      <c r="C506" s="49"/>
      <c r="D506" s="49" t="s">
        <v>4119</v>
      </c>
      <c r="E506" s="50"/>
      <c r="F506" s="50"/>
    </row>
    <row r="507">
      <c r="A507" s="51" t="s">
        <v>487</v>
      </c>
      <c r="B507" s="51"/>
      <c r="C507" s="51"/>
      <c r="D507" s="51" t="s">
        <v>4793</v>
      </c>
      <c r="E507" s="52"/>
      <c r="F507" s="52"/>
    </row>
    <row r="508">
      <c r="A508" s="49" t="s">
        <v>487</v>
      </c>
      <c r="B508" s="49"/>
      <c r="C508" s="49"/>
      <c r="D508" s="49" t="s">
        <v>4794</v>
      </c>
      <c r="E508" s="50"/>
      <c r="F508" s="50"/>
    </row>
    <row r="509">
      <c r="A509" s="51" t="s">
        <v>4103</v>
      </c>
      <c r="B509" s="51"/>
      <c r="C509" s="51"/>
      <c r="D509" s="51" t="s">
        <v>4795</v>
      </c>
      <c r="E509" s="52"/>
      <c r="F509" s="52"/>
    </row>
    <row r="510">
      <c r="A510" s="49" t="s">
        <v>487</v>
      </c>
      <c r="B510" s="49"/>
      <c r="C510" s="49"/>
      <c r="D510" s="49" t="s">
        <v>4796</v>
      </c>
      <c r="E510" s="50"/>
      <c r="F510" s="50"/>
    </row>
    <row r="511">
      <c r="A511" s="51" t="s">
        <v>487</v>
      </c>
      <c r="B511" s="51"/>
      <c r="C511" s="51"/>
      <c r="D511" s="51" t="s">
        <v>4797</v>
      </c>
      <c r="E511" s="52"/>
      <c r="F511" s="52"/>
    </row>
    <row r="512">
      <c r="A512" s="49" t="s">
        <v>4109</v>
      </c>
      <c r="B512" s="49"/>
      <c r="C512" s="49"/>
      <c r="D512" s="49" t="s">
        <v>4798</v>
      </c>
      <c r="E512" s="50"/>
      <c r="F512" s="50"/>
    </row>
    <row r="513">
      <c r="A513" s="51" t="s">
        <v>4799</v>
      </c>
      <c r="B513" s="51"/>
      <c r="C513" s="51"/>
      <c r="D513" s="51" t="s">
        <v>4800</v>
      </c>
      <c r="E513" s="52"/>
      <c r="F513" s="52"/>
    </row>
    <row r="514">
      <c r="A514" s="49" t="s">
        <v>4082</v>
      </c>
      <c r="B514" s="49"/>
      <c r="C514" s="49"/>
      <c r="D514" s="49" t="s">
        <v>4801</v>
      </c>
      <c r="E514" s="50"/>
      <c r="F514" s="50"/>
    </row>
    <row r="515">
      <c r="A515" s="51" t="s">
        <v>4103</v>
      </c>
      <c r="B515" s="51"/>
      <c r="C515" s="51"/>
      <c r="D515" s="51" t="s">
        <v>4738</v>
      </c>
      <c r="E515" s="52"/>
      <c r="F515" s="52"/>
    </row>
    <row r="516">
      <c r="A516" s="49" t="s">
        <v>4082</v>
      </c>
      <c r="B516" s="49"/>
      <c r="C516" s="49"/>
      <c r="D516" s="49" t="s">
        <v>4802</v>
      </c>
      <c r="E516" s="50"/>
      <c r="F516" s="50"/>
    </row>
    <row r="517">
      <c r="A517" s="51" t="s">
        <v>4082</v>
      </c>
      <c r="B517" s="51"/>
      <c r="C517" s="51"/>
      <c r="D517" s="51" t="s">
        <v>4803</v>
      </c>
      <c r="E517" s="52"/>
      <c r="F517" s="52"/>
    </row>
    <row r="518">
      <c r="A518" s="49" t="s">
        <v>4103</v>
      </c>
      <c r="B518" s="49"/>
      <c r="C518" s="49"/>
      <c r="D518" s="49" t="s">
        <v>4804</v>
      </c>
      <c r="E518" s="50"/>
      <c r="F518" s="50"/>
    </row>
    <row r="519">
      <c r="A519" s="51" t="s">
        <v>487</v>
      </c>
      <c r="B519" s="51"/>
      <c r="C519" s="51"/>
      <c r="D519" s="51" t="s">
        <v>4805</v>
      </c>
      <c r="E519" s="52"/>
      <c r="F519" s="52"/>
    </row>
    <row r="520">
      <c r="A520" s="49" t="s">
        <v>4103</v>
      </c>
      <c r="B520" s="49"/>
      <c r="C520" s="49"/>
      <c r="D520" s="49" t="s">
        <v>4447</v>
      </c>
      <c r="E520" s="50"/>
      <c r="F520" s="50"/>
    </row>
    <row r="521">
      <c r="A521" s="51" t="s">
        <v>4137</v>
      </c>
      <c r="B521" s="51"/>
      <c r="C521" s="51"/>
      <c r="D521" s="51" t="s">
        <v>4119</v>
      </c>
      <c r="E521" s="52"/>
      <c r="F521" s="52"/>
    </row>
    <row r="522">
      <c r="A522" s="49" t="s">
        <v>4119</v>
      </c>
      <c r="B522" s="49"/>
      <c r="C522" s="49"/>
      <c r="D522" s="49" t="s">
        <v>4119</v>
      </c>
      <c r="E522" s="50"/>
      <c r="F522" s="50"/>
    </row>
    <row r="523">
      <c r="A523" s="51" t="s">
        <v>4119</v>
      </c>
      <c r="B523" s="51"/>
      <c r="C523" s="51"/>
      <c r="D523" s="51" t="s">
        <v>4119</v>
      </c>
      <c r="E523" s="52"/>
      <c r="F523" s="52"/>
    </row>
    <row r="524">
      <c r="A524" s="49" t="s">
        <v>4103</v>
      </c>
      <c r="B524" s="49"/>
      <c r="C524" s="49"/>
      <c r="D524" s="49" t="s">
        <v>4806</v>
      </c>
      <c r="E524" s="50"/>
      <c r="F524" s="50"/>
    </row>
    <row r="525">
      <c r="A525" s="51" t="s">
        <v>4103</v>
      </c>
      <c r="B525" s="51"/>
      <c r="C525" s="51"/>
      <c r="D525" s="51" t="s">
        <v>4807</v>
      </c>
      <c r="E525" s="52"/>
      <c r="F525" s="52"/>
    </row>
    <row r="526">
      <c r="A526" s="49" t="s">
        <v>487</v>
      </c>
      <c r="B526" s="49"/>
      <c r="C526" s="49"/>
      <c r="D526" s="49" t="s">
        <v>4808</v>
      </c>
      <c r="E526" s="50"/>
      <c r="F526" s="50"/>
    </row>
    <row r="527">
      <c r="A527" s="51" t="s">
        <v>487</v>
      </c>
      <c r="B527" s="51"/>
      <c r="C527" s="51"/>
      <c r="D527" s="51" t="s">
        <v>4809</v>
      </c>
      <c r="E527" s="52"/>
      <c r="F527" s="52"/>
    </row>
    <row r="528">
      <c r="A528" s="49" t="s">
        <v>4109</v>
      </c>
      <c r="B528" s="49"/>
      <c r="C528" s="49"/>
      <c r="D528" s="49" t="s">
        <v>4810</v>
      </c>
      <c r="E528" s="50"/>
      <c r="F528" s="50"/>
    </row>
    <row r="529">
      <c r="A529" s="51" t="s">
        <v>487</v>
      </c>
      <c r="B529" s="51"/>
      <c r="C529" s="51"/>
      <c r="D529" s="51" t="s">
        <v>4811</v>
      </c>
      <c r="E529" s="52"/>
      <c r="F529" s="52"/>
    </row>
    <row r="530">
      <c r="A530" s="49" t="s">
        <v>4103</v>
      </c>
      <c r="B530" s="49"/>
      <c r="C530" s="49"/>
      <c r="D530" s="49" t="s">
        <v>4812</v>
      </c>
      <c r="E530" s="50"/>
      <c r="F530" s="50"/>
    </row>
    <row r="531">
      <c r="A531" s="51" t="s">
        <v>487</v>
      </c>
      <c r="B531" s="51"/>
      <c r="C531" s="51"/>
      <c r="D531" s="51" t="s">
        <v>4813</v>
      </c>
      <c r="E531" s="52"/>
      <c r="F531" s="52"/>
    </row>
    <row r="532">
      <c r="A532" s="49" t="s">
        <v>4103</v>
      </c>
      <c r="B532" s="49"/>
      <c r="C532" s="49"/>
      <c r="D532" s="49" t="s">
        <v>4814</v>
      </c>
      <c r="E532" s="50"/>
      <c r="F532" s="50"/>
    </row>
    <row r="533">
      <c r="A533" s="51" t="s">
        <v>4103</v>
      </c>
      <c r="B533" s="51"/>
      <c r="C533" s="51"/>
      <c r="D533" s="51" t="s">
        <v>4815</v>
      </c>
      <c r="E533" s="52"/>
      <c r="F533" s="52"/>
    </row>
    <row r="534">
      <c r="A534" s="49" t="s">
        <v>4103</v>
      </c>
      <c r="B534" s="49"/>
      <c r="C534" s="49"/>
      <c r="D534" s="49" t="s">
        <v>4816</v>
      </c>
      <c r="E534" s="50"/>
      <c r="F534" s="50"/>
    </row>
    <row r="535">
      <c r="A535" s="51" t="s">
        <v>487</v>
      </c>
      <c r="B535" s="51"/>
      <c r="C535" s="51"/>
      <c r="D535" s="51" t="s">
        <v>4817</v>
      </c>
      <c r="E535" s="52"/>
      <c r="F535" s="52"/>
    </row>
    <row r="536">
      <c r="A536" s="49" t="s">
        <v>487</v>
      </c>
      <c r="B536" s="49"/>
      <c r="C536" s="49"/>
      <c r="D536" s="49" t="s">
        <v>4818</v>
      </c>
      <c r="E536" s="50"/>
      <c r="F536" s="50"/>
    </row>
    <row r="537">
      <c r="A537" s="51" t="s">
        <v>487</v>
      </c>
      <c r="B537" s="51"/>
      <c r="C537" s="51"/>
      <c r="D537" s="51" t="s">
        <v>4819</v>
      </c>
      <c r="E537" s="52"/>
      <c r="F537" s="52"/>
    </row>
    <row r="538">
      <c r="A538" s="49" t="s">
        <v>4103</v>
      </c>
      <c r="B538" s="49"/>
      <c r="C538" s="49"/>
      <c r="D538" s="49" t="s">
        <v>4820</v>
      </c>
      <c r="E538" s="50"/>
      <c r="F538" s="50"/>
    </row>
    <row r="539">
      <c r="A539" s="51" t="s">
        <v>4109</v>
      </c>
      <c r="B539" s="51"/>
      <c r="C539" s="51"/>
      <c r="D539" s="51" t="s">
        <v>4821</v>
      </c>
      <c r="E539" s="52"/>
      <c r="F539" s="52"/>
    </row>
    <row r="540">
      <c r="A540" s="49" t="s">
        <v>487</v>
      </c>
      <c r="B540" s="49"/>
      <c r="C540" s="49"/>
      <c r="D540" s="49" t="s">
        <v>4822</v>
      </c>
      <c r="E540" s="50"/>
      <c r="F540" s="50"/>
    </row>
    <row r="541">
      <c r="A541" s="51" t="s">
        <v>4119</v>
      </c>
      <c r="B541" s="51"/>
      <c r="C541" s="51"/>
      <c r="D541" s="51" t="s">
        <v>4119</v>
      </c>
      <c r="E541" s="52"/>
      <c r="F541" s="52"/>
    </row>
    <row r="542">
      <c r="A542" s="49" t="s">
        <v>487</v>
      </c>
      <c r="B542" s="49"/>
      <c r="C542" s="49"/>
      <c r="D542" s="49" t="s">
        <v>4823</v>
      </c>
      <c r="E542" s="50"/>
      <c r="F542" s="50"/>
    </row>
    <row r="543">
      <c r="A543" s="51" t="s">
        <v>4103</v>
      </c>
      <c r="B543" s="51"/>
      <c r="C543" s="51"/>
      <c r="D543" s="51" t="s">
        <v>4824</v>
      </c>
      <c r="E543" s="52"/>
      <c r="F543" s="52"/>
    </row>
    <row r="544">
      <c r="A544" s="49" t="s">
        <v>4137</v>
      </c>
      <c r="B544" s="49"/>
      <c r="C544" s="49"/>
      <c r="D544" s="49" t="s">
        <v>4119</v>
      </c>
      <c r="E544" s="50"/>
      <c r="F544" s="50"/>
    </row>
    <row r="545">
      <c r="A545" s="51" t="s">
        <v>4103</v>
      </c>
      <c r="B545" s="51"/>
      <c r="C545" s="51"/>
      <c r="D545" s="51" t="s">
        <v>4824</v>
      </c>
      <c r="E545" s="52"/>
      <c r="F545" s="52"/>
    </row>
    <row r="546">
      <c r="A546" s="49" t="s">
        <v>4103</v>
      </c>
      <c r="B546" s="49"/>
      <c r="C546" s="49"/>
      <c r="D546" s="49" t="s">
        <v>4825</v>
      </c>
      <c r="E546" s="50"/>
      <c r="F546" s="50"/>
    </row>
    <row r="547">
      <c r="A547" s="51" t="s">
        <v>4167</v>
      </c>
      <c r="B547" s="51"/>
      <c r="C547" s="51"/>
      <c r="D547" s="51" t="s">
        <v>4369</v>
      </c>
      <c r="E547" s="52"/>
      <c r="F547" s="52"/>
    </row>
    <row r="548">
      <c r="A548" s="49" t="s">
        <v>487</v>
      </c>
      <c r="B548" s="49"/>
      <c r="C548" s="49"/>
      <c r="D548" s="49" t="s">
        <v>4826</v>
      </c>
      <c r="E548" s="50"/>
      <c r="F548" s="50"/>
    </row>
    <row r="549">
      <c r="A549" s="51" t="s">
        <v>4137</v>
      </c>
      <c r="B549" s="51"/>
      <c r="C549" s="51"/>
      <c r="D549" s="51" t="s">
        <v>4119</v>
      </c>
      <c r="E549" s="52"/>
      <c r="F549" s="52"/>
    </row>
    <row r="550">
      <c r="A550" s="49" t="s">
        <v>4137</v>
      </c>
      <c r="B550" s="49"/>
      <c r="C550" s="49"/>
      <c r="D550" s="49" t="s">
        <v>4119</v>
      </c>
      <c r="E550" s="50"/>
      <c r="F550" s="50"/>
    </row>
    <row r="551">
      <c r="A551" s="51" t="s">
        <v>4137</v>
      </c>
      <c r="B551" s="51"/>
      <c r="C551" s="51"/>
      <c r="D551" s="51" t="s">
        <v>4119</v>
      </c>
      <c r="E551" s="52"/>
      <c r="F551" s="52"/>
    </row>
    <row r="552">
      <c r="A552" s="49" t="s">
        <v>4137</v>
      </c>
      <c r="B552" s="49"/>
      <c r="C552" s="49"/>
      <c r="D552" s="49" t="s">
        <v>4119</v>
      </c>
      <c r="E552" s="50"/>
      <c r="F552" s="50"/>
    </row>
    <row r="553">
      <c r="A553" s="51" t="s">
        <v>4137</v>
      </c>
      <c r="B553" s="51"/>
      <c r="C553" s="51"/>
      <c r="D553" s="51" t="s">
        <v>4119</v>
      </c>
      <c r="E553" s="52"/>
      <c r="F553" s="52"/>
    </row>
    <row r="554">
      <c r="A554" s="49" t="s">
        <v>4103</v>
      </c>
      <c r="B554" s="49"/>
      <c r="C554" s="49"/>
      <c r="D554" s="49" t="s">
        <v>4827</v>
      </c>
      <c r="E554" s="50"/>
      <c r="F554" s="50"/>
    </row>
    <row r="555">
      <c r="A555" s="51" t="s">
        <v>4137</v>
      </c>
      <c r="B555" s="51"/>
      <c r="C555" s="51"/>
      <c r="D555" s="51" t="s">
        <v>4119</v>
      </c>
      <c r="E555" s="52"/>
      <c r="F555" s="52"/>
    </row>
    <row r="556">
      <c r="A556" s="49" t="s">
        <v>4119</v>
      </c>
      <c r="B556" s="49"/>
      <c r="C556" s="49"/>
      <c r="D556" s="49" t="s">
        <v>4119</v>
      </c>
      <c r="E556" s="50"/>
      <c r="F556" s="50"/>
    </row>
    <row r="557">
      <c r="A557" s="51" t="s">
        <v>487</v>
      </c>
      <c r="B557" s="51"/>
      <c r="C557" s="51"/>
      <c r="D557" s="51" t="s">
        <v>4828</v>
      </c>
      <c r="E557" s="52"/>
      <c r="F557" s="52"/>
    </row>
    <row r="558">
      <c r="A558" s="49" t="s">
        <v>4137</v>
      </c>
      <c r="B558" s="49"/>
      <c r="C558" s="49"/>
      <c r="D558" s="49" t="s">
        <v>4119</v>
      </c>
      <c r="E558" s="50"/>
      <c r="F558" s="50"/>
    </row>
    <row r="559">
      <c r="A559" s="51" t="s">
        <v>4137</v>
      </c>
      <c r="B559" s="51"/>
      <c r="C559" s="51"/>
      <c r="D559" s="51" t="s">
        <v>4119</v>
      </c>
      <c r="E559" s="52"/>
      <c r="F559" s="52"/>
    </row>
    <row r="560">
      <c r="A560" s="49" t="s">
        <v>4119</v>
      </c>
      <c r="B560" s="49"/>
      <c r="C560" s="49"/>
      <c r="D560" s="49" t="s">
        <v>4119</v>
      </c>
      <c r="E560" s="50"/>
      <c r="F560" s="50"/>
    </row>
    <row r="561">
      <c r="A561" s="51" t="s">
        <v>4103</v>
      </c>
      <c r="B561" s="51"/>
      <c r="C561" s="51"/>
      <c r="D561" s="51" t="s">
        <v>492</v>
      </c>
      <c r="E561" s="52"/>
      <c r="F561" s="52"/>
    </row>
    <row r="562">
      <c r="A562" s="49" t="s">
        <v>4137</v>
      </c>
      <c r="B562" s="49"/>
      <c r="C562" s="49"/>
      <c r="D562" s="49" t="s">
        <v>4119</v>
      </c>
      <c r="E562" s="50"/>
      <c r="F562" s="50"/>
    </row>
    <row r="563">
      <c r="A563" s="51" t="s">
        <v>4137</v>
      </c>
      <c r="B563" s="51"/>
      <c r="C563" s="51"/>
      <c r="D563" s="51" t="s">
        <v>4119</v>
      </c>
      <c r="E563" s="52"/>
      <c r="F563" s="52"/>
    </row>
    <row r="564">
      <c r="A564" s="49" t="s">
        <v>4119</v>
      </c>
      <c r="B564" s="49"/>
      <c r="C564" s="49"/>
      <c r="D564" s="49" t="s">
        <v>4119</v>
      </c>
      <c r="E564" s="50"/>
      <c r="F564" s="50"/>
    </row>
    <row r="565">
      <c r="A565" s="51" t="s">
        <v>4137</v>
      </c>
      <c r="B565" s="51"/>
      <c r="C565" s="51"/>
      <c r="D565" s="51" t="s">
        <v>4119</v>
      </c>
      <c r="E565" s="52"/>
      <c r="F565" s="52"/>
    </row>
    <row r="566">
      <c r="A566" s="49" t="s">
        <v>487</v>
      </c>
      <c r="B566" s="49"/>
      <c r="C566" s="49"/>
      <c r="D566" s="49" t="s">
        <v>4829</v>
      </c>
      <c r="E566" s="50"/>
      <c r="F566" s="50"/>
    </row>
    <row r="567">
      <c r="A567" s="51" t="s">
        <v>4137</v>
      </c>
      <c r="B567" s="51"/>
      <c r="C567" s="51"/>
      <c r="D567" s="51" t="s">
        <v>4119</v>
      </c>
      <c r="E567" s="52"/>
      <c r="F567" s="52"/>
    </row>
    <row r="568">
      <c r="A568" s="49" t="s">
        <v>4103</v>
      </c>
      <c r="B568" s="49"/>
      <c r="C568" s="49"/>
      <c r="D568" s="49" t="s">
        <v>4830</v>
      </c>
      <c r="E568" s="50"/>
      <c r="F568" s="50"/>
    </row>
    <row r="569">
      <c r="A569" s="51" t="s">
        <v>4082</v>
      </c>
      <c r="B569" s="51"/>
      <c r="C569" s="51"/>
      <c r="D569" s="51" t="s">
        <v>4831</v>
      </c>
      <c r="E569" s="52"/>
      <c r="F569" s="52"/>
    </row>
    <row r="570">
      <c r="A570" s="49" t="s">
        <v>487</v>
      </c>
      <c r="B570" s="49"/>
      <c r="C570" s="49"/>
      <c r="D570" s="49" t="s">
        <v>4832</v>
      </c>
      <c r="E570" s="50"/>
      <c r="F570" s="50"/>
    </row>
    <row r="571">
      <c r="A571" s="51" t="s">
        <v>4137</v>
      </c>
      <c r="B571" s="51"/>
      <c r="C571" s="51"/>
      <c r="D571" s="51" t="s">
        <v>4119</v>
      </c>
      <c r="E571" s="52"/>
      <c r="F571" s="52"/>
    </row>
    <row r="572">
      <c r="A572" s="49" t="s">
        <v>487</v>
      </c>
      <c r="B572" s="49"/>
      <c r="C572" s="49"/>
      <c r="D572" s="49" t="s">
        <v>4833</v>
      </c>
      <c r="E572" s="50"/>
      <c r="F572" s="50"/>
    </row>
    <row r="573">
      <c r="A573" s="51" t="s">
        <v>4137</v>
      </c>
      <c r="B573" s="51"/>
      <c r="C573" s="51"/>
      <c r="D573" s="51" t="s">
        <v>4119</v>
      </c>
      <c r="E573" s="52"/>
      <c r="F573" s="52"/>
    </row>
    <row r="574">
      <c r="A574" s="49" t="s">
        <v>4137</v>
      </c>
      <c r="B574" s="49"/>
      <c r="C574" s="49"/>
      <c r="D574" s="49" t="s">
        <v>4119</v>
      </c>
      <c r="E574" s="50"/>
      <c r="F574" s="50"/>
    </row>
    <row r="575">
      <c r="A575" s="51" t="s">
        <v>487</v>
      </c>
      <c r="B575" s="51"/>
      <c r="C575" s="51"/>
      <c r="D575" s="51" t="s">
        <v>4834</v>
      </c>
      <c r="E575" s="52"/>
      <c r="F575" s="52"/>
    </row>
    <row r="576">
      <c r="A576" s="49" t="s">
        <v>4103</v>
      </c>
      <c r="B576" s="49"/>
      <c r="C576" s="49"/>
      <c r="D576" s="49" t="s">
        <v>4835</v>
      </c>
      <c r="E576" s="50"/>
      <c r="F576" s="50"/>
    </row>
    <row r="577">
      <c r="A577" s="51" t="s">
        <v>487</v>
      </c>
      <c r="B577" s="51"/>
      <c r="C577" s="51"/>
      <c r="D577" s="51" t="s">
        <v>4836</v>
      </c>
      <c r="E577" s="52"/>
      <c r="F577" s="52"/>
    </row>
    <row r="578">
      <c r="A578" s="49" t="s">
        <v>487</v>
      </c>
      <c r="B578" s="49"/>
      <c r="C578" s="49"/>
      <c r="D578" s="49" t="s">
        <v>4837</v>
      </c>
      <c r="E578" s="50"/>
      <c r="F578" s="50"/>
    </row>
    <row r="579">
      <c r="A579" s="51" t="s">
        <v>4103</v>
      </c>
      <c r="B579" s="51"/>
      <c r="C579" s="51"/>
      <c r="D579" s="51" t="s">
        <v>4838</v>
      </c>
      <c r="E579" s="52"/>
      <c r="F579" s="52"/>
    </row>
    <row r="580">
      <c r="A580" s="49" t="s">
        <v>487</v>
      </c>
      <c r="B580" s="49"/>
      <c r="C580" s="49"/>
      <c r="D580" s="49" t="s">
        <v>4839</v>
      </c>
      <c r="E580" s="50"/>
      <c r="F580" s="50"/>
    </row>
    <row r="581">
      <c r="A581" s="51" t="s">
        <v>4137</v>
      </c>
      <c r="B581" s="51"/>
      <c r="C581" s="51"/>
      <c r="D581" s="51" t="s">
        <v>4119</v>
      </c>
      <c r="E581" s="52"/>
      <c r="F581" s="52"/>
    </row>
    <row r="582">
      <c r="A582" s="49" t="s">
        <v>487</v>
      </c>
      <c r="B582" s="49"/>
      <c r="C582" s="49"/>
      <c r="D582" s="49" t="s">
        <v>4840</v>
      </c>
      <c r="E582" s="50"/>
      <c r="F582" s="50"/>
    </row>
    <row r="583">
      <c r="A583" s="51" t="s">
        <v>4119</v>
      </c>
      <c r="B583" s="51"/>
      <c r="C583" s="51"/>
      <c r="D583" s="51" t="s">
        <v>4119</v>
      </c>
      <c r="E583" s="52"/>
      <c r="F583" s="52"/>
    </row>
    <row r="584">
      <c r="A584" s="49" t="s">
        <v>4119</v>
      </c>
      <c r="B584" s="49"/>
      <c r="C584" s="49"/>
      <c r="D584" s="49" t="s">
        <v>4119</v>
      </c>
      <c r="E584" s="50"/>
      <c r="F584" s="50"/>
    </row>
    <row r="585">
      <c r="A585" s="51" t="s">
        <v>4103</v>
      </c>
      <c r="B585" s="51"/>
      <c r="C585" s="51"/>
      <c r="D585" s="51" t="s">
        <v>4841</v>
      </c>
      <c r="E585" s="52"/>
      <c r="F585" s="52"/>
    </row>
    <row r="586">
      <c r="A586" s="49" t="s">
        <v>487</v>
      </c>
      <c r="B586" s="49"/>
      <c r="C586" s="49"/>
      <c r="D586" s="49" t="s">
        <v>4842</v>
      </c>
      <c r="E586" s="50"/>
      <c r="F586" s="50"/>
    </row>
    <row r="587">
      <c r="A587" s="51" t="s">
        <v>487</v>
      </c>
      <c r="B587" s="51"/>
      <c r="C587" s="51"/>
      <c r="D587" s="51" t="s">
        <v>4843</v>
      </c>
      <c r="E587" s="52"/>
      <c r="F587" s="52"/>
    </row>
    <row r="588">
      <c r="A588" s="49" t="s">
        <v>4137</v>
      </c>
      <c r="B588" s="49"/>
      <c r="C588" s="49"/>
      <c r="D588" s="49" t="s">
        <v>4119</v>
      </c>
      <c r="E588" s="50"/>
      <c r="F588" s="50"/>
    </row>
    <row r="589">
      <c r="A589" s="51" t="s">
        <v>4103</v>
      </c>
      <c r="B589" s="51"/>
      <c r="C589" s="51"/>
      <c r="D589" s="51" t="s">
        <v>4844</v>
      </c>
      <c r="E589" s="52"/>
      <c r="F589" s="52"/>
    </row>
    <row r="590">
      <c r="A590" s="49" t="s">
        <v>487</v>
      </c>
      <c r="B590" s="49"/>
      <c r="C590" s="49"/>
      <c r="D590" s="49" t="s">
        <v>4845</v>
      </c>
      <c r="E590" s="50"/>
      <c r="F590" s="50"/>
    </row>
    <row r="591">
      <c r="A591" s="51" t="s">
        <v>487</v>
      </c>
      <c r="B591" s="51"/>
      <c r="C591" s="51"/>
      <c r="D591" s="51" t="s">
        <v>4846</v>
      </c>
      <c r="E591" s="52"/>
      <c r="F591" s="52"/>
    </row>
    <row r="592">
      <c r="A592" s="49" t="s">
        <v>4137</v>
      </c>
      <c r="B592" s="49"/>
      <c r="C592" s="49"/>
      <c r="D592" s="49" t="s">
        <v>4119</v>
      </c>
      <c r="E592" s="50"/>
      <c r="F592" s="50"/>
    </row>
    <row r="593">
      <c r="A593" s="51" t="s">
        <v>487</v>
      </c>
      <c r="B593" s="51"/>
      <c r="C593" s="51"/>
      <c r="D593" s="51" t="s">
        <v>4847</v>
      </c>
      <c r="E593" s="52"/>
      <c r="F593" s="52"/>
    </row>
    <row r="594">
      <c r="A594" s="49" t="s">
        <v>487</v>
      </c>
      <c r="B594" s="49"/>
      <c r="C594" s="49"/>
      <c r="D594" s="49" t="s">
        <v>4848</v>
      </c>
      <c r="E594" s="50"/>
      <c r="F594" s="50"/>
    </row>
    <row r="595">
      <c r="A595" s="51" t="s">
        <v>4582</v>
      </c>
      <c r="B595" s="51"/>
      <c r="C595" s="51"/>
      <c r="D595" s="51" t="s">
        <v>4849</v>
      </c>
      <c r="E595" s="52"/>
      <c r="F595" s="52"/>
    </row>
    <row r="596">
      <c r="A596" s="49" t="s">
        <v>487</v>
      </c>
      <c r="B596" s="49"/>
      <c r="C596" s="49"/>
      <c r="D596" s="49" t="s">
        <v>4850</v>
      </c>
      <c r="E596" s="50"/>
      <c r="F596" s="50"/>
    </row>
    <row r="597">
      <c r="A597" s="51" t="s">
        <v>487</v>
      </c>
      <c r="B597" s="51"/>
      <c r="C597" s="51"/>
      <c r="D597" s="51" t="s">
        <v>4851</v>
      </c>
      <c r="E597" s="52"/>
      <c r="F597" s="52"/>
    </row>
    <row r="598">
      <c r="A598" s="49" t="s">
        <v>487</v>
      </c>
      <c r="B598" s="49"/>
      <c r="C598" s="49"/>
      <c r="D598" s="49" t="s">
        <v>4852</v>
      </c>
      <c r="E598" s="50"/>
      <c r="F598" s="50"/>
    </row>
    <row r="599">
      <c r="A599" s="51" t="s">
        <v>4103</v>
      </c>
      <c r="B599" s="51"/>
      <c r="C599" s="51"/>
      <c r="D599" s="51" t="s">
        <v>4853</v>
      </c>
      <c r="E599" s="52"/>
      <c r="F599" s="52"/>
    </row>
    <row r="600">
      <c r="A600" s="49" t="s">
        <v>4082</v>
      </c>
      <c r="B600" s="49"/>
      <c r="C600" s="49"/>
      <c r="D600" s="49" t="s">
        <v>492</v>
      </c>
      <c r="E600" s="50"/>
      <c r="F600" s="50"/>
    </row>
    <row r="601">
      <c r="A601" s="51" t="s">
        <v>4137</v>
      </c>
      <c r="B601" s="51"/>
      <c r="C601" s="51"/>
      <c r="D601" s="51" t="s">
        <v>4119</v>
      </c>
      <c r="E601" s="52"/>
      <c r="F601" s="52"/>
    </row>
    <row r="602">
      <c r="A602" s="49" t="s">
        <v>487</v>
      </c>
      <c r="B602" s="49"/>
      <c r="C602" s="49"/>
      <c r="D602" s="49" t="s">
        <v>4854</v>
      </c>
      <c r="E602" s="50"/>
      <c r="F602" s="50"/>
    </row>
    <row r="603">
      <c r="A603" s="51" t="s">
        <v>4582</v>
      </c>
      <c r="B603" s="51"/>
      <c r="C603" s="51"/>
      <c r="D603" s="51" t="s">
        <v>4855</v>
      </c>
      <c r="E603" s="52"/>
      <c r="F603" s="52"/>
    </row>
    <row r="604">
      <c r="A604" s="49" t="s">
        <v>4119</v>
      </c>
      <c r="B604" s="49"/>
      <c r="C604" s="49"/>
      <c r="D604" s="49" t="s">
        <v>4119</v>
      </c>
      <c r="E604" s="50"/>
      <c r="F604" s="50"/>
    </row>
    <row r="605">
      <c r="A605" s="51" t="s">
        <v>4103</v>
      </c>
      <c r="B605" s="51"/>
      <c r="C605" s="51"/>
      <c r="D605" s="51" t="s">
        <v>4856</v>
      </c>
      <c r="E605" s="52"/>
      <c r="F605" s="52"/>
    </row>
    <row r="606">
      <c r="A606" s="49" t="s">
        <v>4582</v>
      </c>
      <c r="B606" s="49"/>
      <c r="C606" s="49"/>
      <c r="D606" s="49" t="s">
        <v>4857</v>
      </c>
      <c r="E606" s="50"/>
      <c r="F606" s="50"/>
    </row>
    <row r="607">
      <c r="A607" s="51" t="s">
        <v>4119</v>
      </c>
      <c r="B607" s="51"/>
      <c r="C607" s="51"/>
      <c r="D607" s="51" t="s">
        <v>4119</v>
      </c>
      <c r="E607" s="52"/>
      <c r="F607" s="52"/>
    </row>
    <row r="608">
      <c r="A608" s="49" t="s">
        <v>487</v>
      </c>
      <c r="B608" s="49"/>
      <c r="C608" s="49"/>
      <c r="D608" s="49" t="s">
        <v>4858</v>
      </c>
      <c r="E608" s="50"/>
      <c r="F608" s="50"/>
    </row>
    <row r="609">
      <c r="A609" s="51" t="s">
        <v>487</v>
      </c>
      <c r="B609" s="51"/>
      <c r="C609" s="51"/>
      <c r="D609" s="51" t="s">
        <v>4859</v>
      </c>
      <c r="E609" s="52"/>
      <c r="F609" s="52"/>
    </row>
    <row r="610">
      <c r="A610" s="49" t="s">
        <v>487</v>
      </c>
      <c r="B610" s="49"/>
      <c r="C610" s="49"/>
      <c r="D610" s="49" t="s">
        <v>4860</v>
      </c>
      <c r="E610" s="50"/>
      <c r="F610" s="50"/>
    </row>
    <row r="611">
      <c r="A611" s="51" t="s">
        <v>4137</v>
      </c>
      <c r="B611" s="51"/>
      <c r="C611" s="51"/>
      <c r="D611" s="51" t="s">
        <v>4119</v>
      </c>
      <c r="E611" s="52"/>
      <c r="F611" s="52"/>
    </row>
    <row r="612">
      <c r="A612" s="49" t="s">
        <v>4103</v>
      </c>
      <c r="B612" s="49"/>
      <c r="C612" s="49"/>
      <c r="D612" s="49" t="s">
        <v>4861</v>
      </c>
      <c r="E612" s="50"/>
      <c r="F612" s="50"/>
    </row>
    <row r="613">
      <c r="A613" s="51" t="s">
        <v>487</v>
      </c>
      <c r="B613" s="51"/>
      <c r="C613" s="51"/>
      <c r="D613" s="51" t="s">
        <v>4862</v>
      </c>
      <c r="E613" s="52"/>
      <c r="F613" s="52"/>
    </row>
    <row r="614">
      <c r="A614" s="49" t="s">
        <v>4716</v>
      </c>
      <c r="B614" s="49"/>
      <c r="C614" s="49"/>
      <c r="D614" s="49" t="s">
        <v>4863</v>
      </c>
      <c r="E614" s="50"/>
      <c r="F614" s="50"/>
    </row>
    <row r="615">
      <c r="A615" s="51" t="s">
        <v>4119</v>
      </c>
      <c r="B615" s="51"/>
      <c r="C615" s="51"/>
      <c r="D615" s="51" t="s">
        <v>4119</v>
      </c>
      <c r="E615" s="52"/>
      <c r="F615" s="52"/>
    </row>
    <row r="616">
      <c r="A616" s="49" t="s">
        <v>4103</v>
      </c>
      <c r="B616" s="49"/>
      <c r="C616" s="49"/>
      <c r="D616" s="49" t="s">
        <v>4864</v>
      </c>
      <c r="E616" s="50"/>
      <c r="F616" s="50"/>
    </row>
    <row r="617">
      <c r="A617" s="51" t="s">
        <v>487</v>
      </c>
      <c r="B617" s="51"/>
      <c r="C617" s="51"/>
      <c r="D617" s="51" t="s">
        <v>4865</v>
      </c>
      <c r="E617" s="52"/>
      <c r="F617" s="52"/>
    </row>
    <row r="618">
      <c r="A618" s="49" t="s">
        <v>4137</v>
      </c>
      <c r="B618" s="49"/>
      <c r="C618" s="49"/>
      <c r="D618" s="49" t="s">
        <v>4119</v>
      </c>
      <c r="E618" s="50"/>
      <c r="F618" s="50"/>
    </row>
    <row r="619">
      <c r="A619" s="51" t="s">
        <v>4082</v>
      </c>
      <c r="B619" s="51"/>
      <c r="C619" s="51"/>
      <c r="D619" s="51" t="s">
        <v>4866</v>
      </c>
      <c r="E619" s="52"/>
      <c r="F619" s="52"/>
    </row>
    <row r="620">
      <c r="A620" s="49" t="s">
        <v>4167</v>
      </c>
      <c r="B620" s="49"/>
      <c r="C620" s="49"/>
      <c r="D620" s="49" t="s">
        <v>4867</v>
      </c>
      <c r="E620" s="50"/>
      <c r="F620" s="50"/>
    </row>
    <row r="621">
      <c r="A621" s="51" t="s">
        <v>4119</v>
      </c>
      <c r="B621" s="51"/>
      <c r="C621" s="51"/>
      <c r="D621" s="51" t="s">
        <v>4119</v>
      </c>
      <c r="E621" s="52"/>
      <c r="F621" s="52"/>
    </row>
    <row r="622">
      <c r="A622" s="49" t="s">
        <v>487</v>
      </c>
      <c r="B622" s="49"/>
      <c r="C622" s="49"/>
      <c r="D622" s="49" t="s">
        <v>4868</v>
      </c>
      <c r="E622" s="50"/>
      <c r="F622" s="50"/>
    </row>
    <row r="623">
      <c r="A623" s="51" t="s">
        <v>4869</v>
      </c>
      <c r="B623" s="51"/>
      <c r="C623" s="51"/>
      <c r="D623" s="51" t="s">
        <v>4679</v>
      </c>
      <c r="E623" s="52"/>
      <c r="F623" s="52"/>
    </row>
    <row r="624">
      <c r="A624" s="49" t="s">
        <v>487</v>
      </c>
      <c r="B624" s="49"/>
      <c r="C624" s="49"/>
      <c r="D624" s="49" t="s">
        <v>4870</v>
      </c>
      <c r="E624" s="50"/>
      <c r="F624" s="50"/>
    </row>
    <row r="625">
      <c r="A625" s="51" t="s">
        <v>4109</v>
      </c>
      <c r="B625" s="51"/>
      <c r="C625" s="51"/>
      <c r="D625" s="51" t="s">
        <v>4871</v>
      </c>
      <c r="E625" s="52"/>
      <c r="F625" s="52"/>
    </row>
    <row r="626">
      <c r="A626" s="49" t="s">
        <v>4103</v>
      </c>
      <c r="B626" s="49"/>
      <c r="C626" s="49"/>
      <c r="D626" s="49" t="s">
        <v>4872</v>
      </c>
      <c r="E626" s="50"/>
      <c r="F626" s="50"/>
    </row>
    <row r="627">
      <c r="A627" s="51" t="s">
        <v>4119</v>
      </c>
      <c r="B627" s="51"/>
      <c r="C627" s="51"/>
      <c r="D627" s="51" t="s">
        <v>4119</v>
      </c>
      <c r="E627" s="52"/>
      <c r="F627" s="52"/>
    </row>
    <row r="628">
      <c r="A628" s="49" t="s">
        <v>487</v>
      </c>
      <c r="B628" s="49"/>
      <c r="C628" s="49"/>
      <c r="D628" s="49" t="s">
        <v>4873</v>
      </c>
      <c r="E628" s="50"/>
      <c r="F628" s="50"/>
    </row>
    <row r="629">
      <c r="A629" s="51" t="s">
        <v>4119</v>
      </c>
      <c r="B629" s="51"/>
      <c r="C629" s="51"/>
      <c r="D629" s="51" t="s">
        <v>4119</v>
      </c>
      <c r="E629" s="52"/>
      <c r="F629" s="52"/>
    </row>
    <row r="630">
      <c r="A630" s="49" t="s">
        <v>4103</v>
      </c>
      <c r="B630" s="49"/>
      <c r="C630" s="49"/>
      <c r="D630" s="49" t="s">
        <v>4874</v>
      </c>
      <c r="E630" s="50"/>
      <c r="F630" s="50"/>
    </row>
    <row r="631">
      <c r="A631" s="51" t="s">
        <v>487</v>
      </c>
      <c r="B631" s="51"/>
      <c r="C631" s="51"/>
      <c r="D631" s="51" t="s">
        <v>4875</v>
      </c>
      <c r="E631" s="52"/>
      <c r="F631" s="52"/>
    </row>
    <row r="632">
      <c r="A632" s="49" t="s">
        <v>487</v>
      </c>
      <c r="B632" s="49"/>
      <c r="C632" s="49"/>
      <c r="D632" s="49" t="s">
        <v>4876</v>
      </c>
      <c r="E632" s="50"/>
      <c r="F632" s="50"/>
    </row>
    <row r="633">
      <c r="A633" s="51" t="s">
        <v>4082</v>
      </c>
      <c r="B633" s="51"/>
      <c r="C633" s="51"/>
      <c r="D633" s="51" t="s">
        <v>4877</v>
      </c>
      <c r="E633" s="52"/>
      <c r="F633" s="52"/>
    </row>
    <row r="634">
      <c r="A634" s="49" t="s">
        <v>4082</v>
      </c>
      <c r="B634" s="54"/>
      <c r="C634" s="54"/>
      <c r="D634" s="54" t="s">
        <v>4789</v>
      </c>
      <c r="E634" s="55"/>
      <c r="F634" s="55"/>
    </row>
    <row r="635">
      <c r="A635" s="51" t="s">
        <v>4137</v>
      </c>
      <c r="B635" s="51"/>
      <c r="C635" s="51"/>
      <c r="D635" s="51" t="s">
        <v>4119</v>
      </c>
      <c r="E635" s="52"/>
      <c r="F635" s="52"/>
    </row>
    <row r="636">
      <c r="A636" s="49" t="s">
        <v>487</v>
      </c>
      <c r="B636" s="49"/>
      <c r="C636" s="49"/>
      <c r="D636" s="49" t="s">
        <v>4878</v>
      </c>
      <c r="E636" s="50"/>
      <c r="F636" s="50"/>
    </row>
    <row r="637">
      <c r="A637" s="51" t="s">
        <v>4103</v>
      </c>
      <c r="B637" s="51"/>
      <c r="C637" s="51"/>
      <c r="D637" s="51" t="s">
        <v>4879</v>
      </c>
      <c r="E637" s="52"/>
      <c r="F637" s="52"/>
    </row>
    <row r="638">
      <c r="A638" s="49" t="s">
        <v>4137</v>
      </c>
      <c r="B638" s="49"/>
      <c r="C638" s="49"/>
      <c r="D638" s="49" t="s">
        <v>4119</v>
      </c>
      <c r="E638" s="50"/>
      <c r="F638" s="50"/>
    </row>
    <row r="639">
      <c r="A639" s="51" t="s">
        <v>4109</v>
      </c>
      <c r="B639" s="51"/>
      <c r="C639" s="51"/>
      <c r="D639" s="51" t="s">
        <v>4880</v>
      </c>
      <c r="E639" s="52"/>
      <c r="F639" s="52"/>
    </row>
    <row r="640">
      <c r="A640" s="49" t="s">
        <v>487</v>
      </c>
      <c r="B640" s="49"/>
      <c r="C640" s="49"/>
      <c r="D640" s="49" t="s">
        <v>4881</v>
      </c>
      <c r="E640" s="50"/>
      <c r="F640" s="50"/>
    </row>
    <row r="641">
      <c r="A641" s="51" t="s">
        <v>4103</v>
      </c>
      <c r="B641" s="51"/>
      <c r="C641" s="51"/>
      <c r="D641" s="51" t="s">
        <v>4882</v>
      </c>
      <c r="E641" s="52"/>
      <c r="F641" s="52"/>
    </row>
    <row r="642">
      <c r="A642" s="49" t="s">
        <v>4103</v>
      </c>
      <c r="B642" s="49"/>
      <c r="C642" s="49"/>
      <c r="D642" s="49" t="s">
        <v>4883</v>
      </c>
      <c r="E642" s="50"/>
      <c r="F642" s="50"/>
    </row>
    <row r="643">
      <c r="A643" s="51" t="s">
        <v>4137</v>
      </c>
      <c r="B643" s="51"/>
      <c r="C643" s="51"/>
      <c r="D643" s="51" t="s">
        <v>4119</v>
      </c>
      <c r="E643" s="52"/>
      <c r="F643" s="52"/>
    </row>
    <row r="644">
      <c r="A644" s="49" t="s">
        <v>487</v>
      </c>
      <c r="B644" s="49"/>
      <c r="C644" s="49"/>
      <c r="D644" s="49" t="s">
        <v>4884</v>
      </c>
      <c r="E644" s="50"/>
      <c r="F644" s="50"/>
    </row>
    <row r="645">
      <c r="A645" s="51" t="s">
        <v>4885</v>
      </c>
      <c r="B645" s="51"/>
      <c r="C645" s="51"/>
      <c r="D645" s="51" t="s">
        <v>4886</v>
      </c>
      <c r="E645" s="52"/>
      <c r="F645" s="52"/>
    </row>
    <row r="646">
      <c r="A646" s="49" t="s">
        <v>487</v>
      </c>
      <c r="B646" s="49"/>
      <c r="C646" s="49"/>
      <c r="D646" s="49" t="s">
        <v>4887</v>
      </c>
      <c r="E646" s="50"/>
      <c r="F646" s="50"/>
    </row>
    <row r="647">
      <c r="A647" s="51" t="s">
        <v>4888</v>
      </c>
      <c r="B647" s="51"/>
      <c r="C647" s="51"/>
      <c r="D647" s="51" t="s">
        <v>4889</v>
      </c>
      <c r="E647" s="52"/>
      <c r="F647" s="52"/>
    </row>
    <row r="648">
      <c r="A648" s="49" t="s">
        <v>487</v>
      </c>
      <c r="B648" s="49"/>
      <c r="C648" s="49"/>
      <c r="D648" s="49" t="s">
        <v>4890</v>
      </c>
      <c r="E648" s="50"/>
      <c r="F648" s="50"/>
    </row>
    <row r="649">
      <c r="A649" s="51" t="s">
        <v>487</v>
      </c>
      <c r="B649" s="51"/>
      <c r="C649" s="51"/>
      <c r="D649" s="51" t="s">
        <v>4891</v>
      </c>
      <c r="E649" s="52"/>
      <c r="F649" s="52"/>
    </row>
    <row r="650">
      <c r="A650" s="49" t="s">
        <v>487</v>
      </c>
      <c r="B650" s="49"/>
      <c r="C650" s="49"/>
      <c r="D650" s="49" t="s">
        <v>4892</v>
      </c>
      <c r="E650" s="50"/>
      <c r="F650" s="50"/>
    </row>
    <row r="651">
      <c r="A651" s="51" t="s">
        <v>4103</v>
      </c>
      <c r="B651" s="51"/>
      <c r="C651" s="51"/>
      <c r="D651" s="51" t="s">
        <v>4893</v>
      </c>
      <c r="E651" s="52"/>
      <c r="F651" s="52"/>
    </row>
    <row r="652">
      <c r="A652" s="49" t="s">
        <v>4082</v>
      </c>
      <c r="B652" s="49"/>
      <c r="C652" s="49"/>
      <c r="D652" s="49" t="s">
        <v>4894</v>
      </c>
      <c r="E652" s="50"/>
      <c r="F652" s="50"/>
    </row>
    <row r="653">
      <c r="A653" s="51" t="s">
        <v>487</v>
      </c>
      <c r="B653" s="51"/>
      <c r="C653" s="51"/>
      <c r="D653" s="51" t="s">
        <v>4895</v>
      </c>
      <c r="E653" s="52"/>
      <c r="F653" s="52"/>
    </row>
    <row r="654">
      <c r="A654" s="49" t="s">
        <v>4103</v>
      </c>
      <c r="B654" s="49"/>
      <c r="C654" s="49"/>
      <c r="D654" s="49" t="s">
        <v>4896</v>
      </c>
      <c r="E654" s="50"/>
      <c r="F654" s="50"/>
    </row>
    <row r="655">
      <c r="A655" s="51" t="s">
        <v>487</v>
      </c>
      <c r="B655" s="51"/>
      <c r="C655" s="51"/>
      <c r="D655" s="51" t="s">
        <v>4194</v>
      </c>
      <c r="E655" s="52"/>
      <c r="F655" s="52"/>
    </row>
    <row r="656">
      <c r="A656" s="49" t="s">
        <v>4716</v>
      </c>
      <c r="B656" s="49"/>
      <c r="C656" s="49"/>
      <c r="D656" s="49" t="s">
        <v>4782</v>
      </c>
      <c r="E656" s="50"/>
      <c r="F656" s="50"/>
    </row>
    <row r="657">
      <c r="A657" s="51" t="s">
        <v>487</v>
      </c>
      <c r="B657" s="51"/>
      <c r="C657" s="51"/>
      <c r="D657" s="51" t="s">
        <v>4897</v>
      </c>
      <c r="E657" s="52"/>
      <c r="F657" s="52"/>
    </row>
    <row r="658">
      <c r="A658" s="49" t="s">
        <v>4109</v>
      </c>
      <c r="B658" s="49"/>
      <c r="C658" s="49"/>
      <c r="D658" s="49" t="s">
        <v>4119</v>
      </c>
      <c r="E658" s="50"/>
      <c r="F658" s="50"/>
    </row>
    <row r="659">
      <c r="A659" s="51" t="s">
        <v>4137</v>
      </c>
      <c r="B659" s="51"/>
      <c r="C659" s="51"/>
      <c r="D659" s="51" t="s">
        <v>4119</v>
      </c>
      <c r="E659" s="52"/>
      <c r="F659" s="52"/>
    </row>
    <row r="660">
      <c r="A660" s="49" t="s">
        <v>4137</v>
      </c>
      <c r="B660" s="49"/>
      <c r="C660" s="49"/>
      <c r="D660" s="49" t="s">
        <v>4119</v>
      </c>
      <c r="E660" s="50"/>
      <c r="F660" s="50"/>
    </row>
    <row r="661">
      <c r="A661" s="51" t="s">
        <v>487</v>
      </c>
      <c r="B661" s="51"/>
      <c r="C661" s="51"/>
      <c r="D661" s="51" t="s">
        <v>4898</v>
      </c>
      <c r="E661" s="52"/>
      <c r="F661" s="52"/>
    </row>
    <row r="662">
      <c r="A662" s="49" t="s">
        <v>4109</v>
      </c>
      <c r="B662" s="49"/>
      <c r="C662" s="49"/>
      <c r="D662" s="49" t="s">
        <v>4899</v>
      </c>
      <c r="E662" s="50"/>
      <c r="F662" s="50"/>
    </row>
    <row r="663">
      <c r="A663" s="51" t="s">
        <v>4109</v>
      </c>
      <c r="B663" s="51"/>
      <c r="C663" s="51"/>
      <c r="D663" s="51" t="s">
        <v>4900</v>
      </c>
      <c r="E663" s="52"/>
      <c r="F663" s="52"/>
    </row>
    <row r="664">
      <c r="A664" s="49" t="s">
        <v>4103</v>
      </c>
      <c r="B664" s="49"/>
      <c r="C664" s="49"/>
      <c r="D664" s="49" t="s">
        <v>4901</v>
      </c>
      <c r="E664" s="50"/>
      <c r="F664" s="50"/>
    </row>
    <row r="665">
      <c r="A665" s="51" t="s">
        <v>4103</v>
      </c>
      <c r="B665" s="51"/>
      <c r="C665" s="51"/>
      <c r="D665" s="51" t="s">
        <v>4902</v>
      </c>
      <c r="E665" s="52"/>
      <c r="F665" s="52"/>
    </row>
    <row r="666">
      <c r="A666" s="49" t="s">
        <v>487</v>
      </c>
      <c r="B666" s="49"/>
      <c r="C666" s="49"/>
      <c r="D666" s="49" t="s">
        <v>4903</v>
      </c>
      <c r="E666" s="50"/>
      <c r="F666" s="50"/>
    </row>
    <row r="667">
      <c r="A667" s="51" t="s">
        <v>4103</v>
      </c>
      <c r="B667" s="51"/>
      <c r="C667" s="51"/>
      <c r="D667" s="51" t="s">
        <v>4904</v>
      </c>
      <c r="E667" s="52"/>
      <c r="F667" s="52"/>
    </row>
    <row r="668">
      <c r="A668" s="49" t="s">
        <v>487</v>
      </c>
      <c r="B668" s="49"/>
      <c r="C668" s="49"/>
      <c r="D668" s="49" t="s">
        <v>4905</v>
      </c>
      <c r="E668" s="50"/>
      <c r="F668" s="50"/>
    </row>
    <row r="669">
      <c r="A669" s="51" t="s">
        <v>487</v>
      </c>
      <c r="B669" s="51"/>
      <c r="C669" s="51"/>
      <c r="D669" s="51" t="s">
        <v>4906</v>
      </c>
      <c r="E669" s="52"/>
      <c r="F669" s="52"/>
    </row>
    <row r="670">
      <c r="A670" s="49" t="s">
        <v>4907</v>
      </c>
      <c r="B670" s="49"/>
      <c r="C670" s="49"/>
      <c r="D670" s="49" t="s">
        <v>4908</v>
      </c>
      <c r="E670" s="50"/>
      <c r="F670" s="50"/>
    </row>
    <row r="671">
      <c r="A671" s="51" t="s">
        <v>4109</v>
      </c>
      <c r="B671" s="51"/>
      <c r="C671" s="51"/>
      <c r="D671" s="51" t="s">
        <v>492</v>
      </c>
      <c r="E671" s="52"/>
      <c r="F671" s="52"/>
    </row>
    <row r="672">
      <c r="A672" s="49" t="s">
        <v>4137</v>
      </c>
      <c r="B672" s="49"/>
      <c r="C672" s="49"/>
      <c r="D672" s="49" t="s">
        <v>4119</v>
      </c>
      <c r="E672" s="50"/>
      <c r="F672" s="50"/>
    </row>
    <row r="673">
      <c r="A673" s="51" t="s">
        <v>487</v>
      </c>
      <c r="B673" s="51"/>
      <c r="C673" s="51"/>
      <c r="D673" s="51" t="s">
        <v>4909</v>
      </c>
      <c r="E673" s="52"/>
      <c r="F673" s="52"/>
    </row>
    <row r="674">
      <c r="A674" s="49" t="s">
        <v>4109</v>
      </c>
      <c r="B674" s="49"/>
      <c r="C674" s="49"/>
      <c r="D674" s="49" t="s">
        <v>4910</v>
      </c>
      <c r="E674" s="50"/>
      <c r="F674" s="50"/>
    </row>
    <row r="675">
      <c r="A675" s="51" t="s">
        <v>487</v>
      </c>
      <c r="B675" s="51"/>
      <c r="C675" s="51"/>
      <c r="D675" s="51" t="s">
        <v>4911</v>
      </c>
      <c r="E675" s="52"/>
      <c r="F675" s="52"/>
    </row>
    <row r="676">
      <c r="A676" s="49" t="s">
        <v>4103</v>
      </c>
      <c r="B676" s="49"/>
      <c r="C676" s="49"/>
      <c r="D676" s="49" t="s">
        <v>4912</v>
      </c>
      <c r="E676" s="50"/>
      <c r="F676" s="50"/>
    </row>
    <row r="677">
      <c r="A677" s="51" t="s">
        <v>4137</v>
      </c>
      <c r="B677" s="51"/>
      <c r="C677" s="51"/>
      <c r="D677" s="51" t="s">
        <v>4119</v>
      </c>
      <c r="E677" s="52"/>
      <c r="F677" s="52"/>
    </row>
    <row r="678">
      <c r="A678" s="49" t="s">
        <v>4119</v>
      </c>
      <c r="B678" s="49"/>
      <c r="C678" s="49"/>
      <c r="D678" s="49" t="s">
        <v>4119</v>
      </c>
      <c r="E678" s="50"/>
      <c r="F678" s="50"/>
    </row>
    <row r="679">
      <c r="A679" s="51" t="s">
        <v>487</v>
      </c>
      <c r="B679" s="51"/>
      <c r="C679" s="51"/>
      <c r="D679" s="51" t="s">
        <v>4913</v>
      </c>
      <c r="E679" s="52"/>
      <c r="F679" s="52"/>
    </row>
    <row r="680">
      <c r="A680" s="49" t="s">
        <v>4119</v>
      </c>
      <c r="B680" s="49"/>
      <c r="C680" s="49"/>
      <c r="D680" s="49" t="s">
        <v>4119</v>
      </c>
      <c r="E680" s="50"/>
      <c r="F680" s="50"/>
    </row>
    <row r="681">
      <c r="A681" s="51" t="s">
        <v>4082</v>
      </c>
      <c r="B681" s="51"/>
      <c r="C681" s="51"/>
      <c r="D681" s="51" t="s">
        <v>4914</v>
      </c>
      <c r="E681" s="52"/>
      <c r="F681" s="52"/>
    </row>
    <row r="682">
      <c r="A682" s="49" t="s">
        <v>487</v>
      </c>
      <c r="B682" s="49"/>
      <c r="C682" s="49"/>
      <c r="D682" s="49" t="s">
        <v>4915</v>
      </c>
      <c r="E682" s="50"/>
      <c r="F682" s="50"/>
    </row>
    <row r="683">
      <c r="A683" s="51" t="s">
        <v>4137</v>
      </c>
      <c r="B683" s="51"/>
      <c r="C683" s="51"/>
      <c r="D683" s="51" t="s">
        <v>4119</v>
      </c>
      <c r="E683" s="52"/>
      <c r="F683" s="52"/>
    </row>
    <row r="684">
      <c r="A684" s="49" t="s">
        <v>4137</v>
      </c>
      <c r="B684" s="49"/>
      <c r="C684" s="49"/>
      <c r="D684" s="49" t="s">
        <v>4119</v>
      </c>
      <c r="E684" s="50"/>
      <c r="F684" s="50"/>
    </row>
    <row r="685">
      <c r="A685" s="51" t="s">
        <v>4119</v>
      </c>
      <c r="B685" s="51"/>
      <c r="C685" s="51"/>
      <c r="D685" s="51" t="s">
        <v>4119</v>
      </c>
      <c r="E685" s="52"/>
      <c r="F685" s="52"/>
    </row>
    <row r="686">
      <c r="A686" s="49" t="s">
        <v>487</v>
      </c>
      <c r="B686" s="49"/>
      <c r="C686" s="49"/>
      <c r="D686" s="49" t="s">
        <v>4916</v>
      </c>
      <c r="E686" s="50"/>
      <c r="F686" s="50"/>
    </row>
    <row r="687">
      <c r="A687" s="51" t="s">
        <v>4082</v>
      </c>
      <c r="B687" s="51"/>
      <c r="C687" s="51"/>
      <c r="D687" s="51" t="s">
        <v>4917</v>
      </c>
      <c r="E687" s="52"/>
      <c r="F687" s="52"/>
    </row>
    <row r="688">
      <c r="A688" s="49" t="s">
        <v>4224</v>
      </c>
      <c r="B688" s="49"/>
      <c r="C688" s="49"/>
      <c r="D688" s="49" t="s">
        <v>4224</v>
      </c>
      <c r="E688" s="50"/>
      <c r="F688" s="50"/>
    </row>
    <row r="689">
      <c r="A689" s="51" t="s">
        <v>4918</v>
      </c>
      <c r="B689" s="51"/>
      <c r="C689" s="51"/>
      <c r="D689" s="51" t="s">
        <v>4919</v>
      </c>
      <c r="E689" s="52"/>
      <c r="F689" s="52"/>
    </row>
    <row r="690">
      <c r="A690" s="49" t="s">
        <v>487</v>
      </c>
      <c r="B690" s="49"/>
      <c r="C690" s="49"/>
      <c r="D690" s="49" t="s">
        <v>4920</v>
      </c>
      <c r="E690" s="50"/>
      <c r="F690" s="50"/>
    </row>
    <row r="691">
      <c r="A691" s="51" t="s">
        <v>4109</v>
      </c>
      <c r="B691" s="51"/>
      <c r="C691" s="51"/>
      <c r="D691" s="51" t="s">
        <v>4921</v>
      </c>
      <c r="E691" s="52"/>
      <c r="F691" s="52"/>
    </row>
    <row r="692">
      <c r="A692" s="49" t="s">
        <v>487</v>
      </c>
      <c r="B692" s="49"/>
      <c r="C692" s="49"/>
      <c r="D692" s="49" t="s">
        <v>4922</v>
      </c>
      <c r="E692" s="50"/>
      <c r="F692" s="50"/>
    </row>
    <row r="693">
      <c r="A693" s="51" t="s">
        <v>487</v>
      </c>
      <c r="B693" s="51"/>
      <c r="C693" s="51"/>
      <c r="D693" s="51" t="s">
        <v>4923</v>
      </c>
      <c r="E693" s="52"/>
      <c r="F693" s="52"/>
    </row>
    <row r="694">
      <c r="A694" s="49" t="s">
        <v>4119</v>
      </c>
      <c r="B694" s="49"/>
      <c r="C694" s="49"/>
      <c r="D694" s="49" t="s">
        <v>4119</v>
      </c>
      <c r="E694" s="50"/>
      <c r="F694" s="50"/>
    </row>
    <row r="695">
      <c r="A695" s="51" t="s">
        <v>4119</v>
      </c>
      <c r="B695" s="51"/>
      <c r="C695" s="51"/>
      <c r="D695" s="51" t="s">
        <v>4119</v>
      </c>
      <c r="E695" s="52"/>
      <c r="F695" s="52"/>
    </row>
    <row r="696">
      <c r="A696" s="49" t="s">
        <v>4137</v>
      </c>
      <c r="B696" s="49"/>
      <c r="C696" s="49"/>
      <c r="D696" s="49" t="s">
        <v>4119</v>
      </c>
      <c r="E696" s="50"/>
      <c r="F696" s="50"/>
    </row>
    <row r="697">
      <c r="A697" s="51" t="s">
        <v>4137</v>
      </c>
      <c r="B697" s="51"/>
      <c r="C697" s="51"/>
      <c r="D697" s="51" t="s">
        <v>4119</v>
      </c>
      <c r="E697" s="52"/>
      <c r="F697" s="52"/>
    </row>
    <row r="698">
      <c r="A698" s="49" t="s">
        <v>4103</v>
      </c>
      <c r="B698" s="49"/>
      <c r="C698" s="49"/>
      <c r="D698" s="49" t="s">
        <v>4924</v>
      </c>
      <c r="E698" s="50"/>
      <c r="F698" s="50"/>
    </row>
    <row r="699">
      <c r="A699" s="51" t="s">
        <v>4082</v>
      </c>
      <c r="B699" s="51"/>
      <c r="C699" s="51"/>
      <c r="D699" s="51" t="s">
        <v>4925</v>
      </c>
      <c r="E699" s="52"/>
      <c r="F699" s="52"/>
    </row>
    <row r="700">
      <c r="A700" s="49" t="s">
        <v>487</v>
      </c>
      <c r="B700" s="49"/>
      <c r="C700" s="49"/>
      <c r="D700" s="49" t="s">
        <v>4926</v>
      </c>
      <c r="E700" s="50"/>
      <c r="F700" s="50"/>
    </row>
    <row r="701">
      <c r="A701" s="51" t="s">
        <v>487</v>
      </c>
      <c r="B701" s="51"/>
      <c r="C701" s="51"/>
      <c r="D701" s="51" t="s">
        <v>4927</v>
      </c>
      <c r="E701" s="52"/>
      <c r="F701" s="52"/>
    </row>
    <row r="702">
      <c r="A702" s="49" t="s">
        <v>4137</v>
      </c>
      <c r="B702" s="49"/>
      <c r="C702" s="49"/>
      <c r="D702" s="49" t="s">
        <v>4119</v>
      </c>
      <c r="E702" s="50"/>
      <c r="F702" s="50"/>
    </row>
    <row r="703">
      <c r="A703" s="51" t="s">
        <v>487</v>
      </c>
      <c r="B703" s="51"/>
      <c r="C703" s="51"/>
      <c r="D703" s="51" t="s">
        <v>4928</v>
      </c>
      <c r="E703" s="52"/>
      <c r="F703" s="52"/>
    </row>
    <row r="704">
      <c r="A704" s="49" t="s">
        <v>4137</v>
      </c>
      <c r="B704" s="49"/>
      <c r="C704" s="49"/>
      <c r="D704" s="49" t="s">
        <v>4119</v>
      </c>
      <c r="E704" s="50"/>
      <c r="F704" s="50"/>
    </row>
    <row r="705">
      <c r="A705" s="51" t="s">
        <v>4137</v>
      </c>
      <c r="B705" s="51"/>
      <c r="C705" s="51"/>
      <c r="D705" s="51" t="s">
        <v>4119</v>
      </c>
      <c r="E705" s="52"/>
      <c r="F705" s="52"/>
    </row>
    <row r="706">
      <c r="A706" s="49" t="s">
        <v>4119</v>
      </c>
      <c r="B706" s="49"/>
      <c r="C706" s="49"/>
      <c r="D706" s="49" t="s">
        <v>4119</v>
      </c>
      <c r="E706" s="50"/>
      <c r="F706" s="50"/>
    </row>
    <row r="707">
      <c r="A707" s="51" t="s">
        <v>487</v>
      </c>
      <c r="B707" s="51"/>
      <c r="C707" s="51"/>
      <c r="D707" s="51" t="s">
        <v>4929</v>
      </c>
      <c r="E707" s="52"/>
      <c r="F707" s="52"/>
    </row>
    <row r="708">
      <c r="A708" s="49" t="s">
        <v>4930</v>
      </c>
      <c r="B708" s="49"/>
      <c r="C708" s="49"/>
      <c r="D708" s="49" t="s">
        <v>4119</v>
      </c>
      <c r="E708" s="50"/>
      <c r="F708" s="50"/>
    </row>
    <row r="709">
      <c r="A709" s="51" t="s">
        <v>4137</v>
      </c>
      <c r="B709" s="51"/>
      <c r="C709" s="51"/>
      <c r="D709" s="51" t="s">
        <v>4119</v>
      </c>
      <c r="E709" s="52"/>
      <c r="F709" s="52"/>
    </row>
    <row r="710">
      <c r="A710" s="49" t="s">
        <v>4137</v>
      </c>
      <c r="B710" s="49"/>
      <c r="C710" s="49"/>
      <c r="D710" s="49" t="s">
        <v>4119</v>
      </c>
      <c r="E710" s="50"/>
      <c r="F710" s="50"/>
    </row>
    <row r="711">
      <c r="A711" s="51" t="s">
        <v>4119</v>
      </c>
      <c r="B711" s="51"/>
      <c r="C711" s="51"/>
      <c r="D711" s="51" t="s">
        <v>4119</v>
      </c>
      <c r="E711" s="52"/>
      <c r="F711" s="52"/>
    </row>
    <row r="712">
      <c r="A712" s="49" t="s">
        <v>4103</v>
      </c>
      <c r="B712" s="49"/>
      <c r="C712" s="49"/>
      <c r="D712" s="49" t="s">
        <v>4931</v>
      </c>
      <c r="E712" s="50"/>
      <c r="F712" s="50"/>
    </row>
    <row r="713">
      <c r="A713" s="51" t="s">
        <v>4103</v>
      </c>
      <c r="B713" s="51"/>
      <c r="C713" s="51"/>
      <c r="D713" s="51" t="s">
        <v>4157</v>
      </c>
      <c r="E713" s="52"/>
      <c r="F713" s="52"/>
    </row>
    <row r="714">
      <c r="A714" s="49" t="s">
        <v>4137</v>
      </c>
      <c r="B714" s="49"/>
      <c r="C714" s="49"/>
      <c r="D714" s="49" t="s">
        <v>4119</v>
      </c>
      <c r="E714" s="50"/>
      <c r="F714" s="50"/>
    </row>
    <row r="715">
      <c r="A715" s="51" t="s">
        <v>4119</v>
      </c>
      <c r="B715" s="51"/>
      <c r="C715" s="51"/>
      <c r="D715" s="51" t="s">
        <v>4119</v>
      </c>
      <c r="E715" s="52"/>
      <c r="F715" s="52"/>
    </row>
    <row r="716">
      <c r="A716" s="49" t="s">
        <v>487</v>
      </c>
      <c r="B716" s="49"/>
      <c r="C716" s="49"/>
      <c r="D716" s="49" t="s">
        <v>4932</v>
      </c>
      <c r="E716" s="50"/>
      <c r="F716" s="50"/>
    </row>
    <row r="717">
      <c r="A717" s="51" t="s">
        <v>487</v>
      </c>
      <c r="B717" s="51"/>
      <c r="C717" s="51"/>
      <c r="D717" s="51" t="s">
        <v>4933</v>
      </c>
      <c r="E717" s="52"/>
      <c r="F717" s="52"/>
    </row>
    <row r="718">
      <c r="A718" s="49" t="s">
        <v>4103</v>
      </c>
      <c r="B718" s="49"/>
      <c r="C718" s="49"/>
      <c r="D718" s="49" t="s">
        <v>4934</v>
      </c>
      <c r="E718" s="50"/>
      <c r="F718" s="50"/>
    </row>
    <row r="719">
      <c r="A719" s="51" t="s">
        <v>4137</v>
      </c>
      <c r="B719" s="51"/>
      <c r="C719" s="51"/>
      <c r="D719" s="51" t="s">
        <v>4119</v>
      </c>
      <c r="E719" s="52"/>
      <c r="F719" s="52"/>
    </row>
    <row r="720">
      <c r="A720" s="49" t="s">
        <v>4935</v>
      </c>
      <c r="B720" s="49"/>
      <c r="C720" s="49"/>
      <c r="D720" s="49" t="s">
        <v>4936</v>
      </c>
      <c r="E720" s="50"/>
      <c r="F720" s="50"/>
    </row>
    <row r="721">
      <c r="A721" s="51" t="s">
        <v>4103</v>
      </c>
      <c r="B721" s="51"/>
      <c r="C721" s="51"/>
      <c r="D721" s="51" t="s">
        <v>4937</v>
      </c>
      <c r="E721" s="52"/>
      <c r="F721" s="52"/>
    </row>
    <row r="722">
      <c r="A722" s="49" t="s">
        <v>487</v>
      </c>
      <c r="B722" s="49"/>
      <c r="C722" s="49"/>
      <c r="D722" s="49" t="s">
        <v>4938</v>
      </c>
      <c r="E722" s="50"/>
      <c r="F722" s="50"/>
    </row>
    <row r="723">
      <c r="A723" s="51" t="s">
        <v>4137</v>
      </c>
      <c r="B723" s="51"/>
      <c r="C723" s="51"/>
      <c r="D723" s="51" t="s">
        <v>4119</v>
      </c>
      <c r="E723" s="52"/>
      <c r="F723" s="52"/>
    </row>
    <row r="724">
      <c r="A724" s="49" t="s">
        <v>4119</v>
      </c>
      <c r="B724" s="49"/>
      <c r="C724" s="49"/>
      <c r="D724" s="49" t="s">
        <v>4119</v>
      </c>
      <c r="E724" s="50"/>
      <c r="F724" s="50"/>
    </row>
    <row r="725">
      <c r="A725" s="51" t="s">
        <v>4137</v>
      </c>
      <c r="B725" s="51"/>
      <c r="C725" s="51"/>
      <c r="D725" s="51" t="s">
        <v>4119</v>
      </c>
      <c r="E725" s="52"/>
      <c r="F725" s="52"/>
    </row>
    <row r="726">
      <c r="A726" s="49" t="s">
        <v>4103</v>
      </c>
      <c r="B726" s="49"/>
      <c r="C726" s="49"/>
      <c r="D726" s="49" t="s">
        <v>4939</v>
      </c>
      <c r="E726" s="50"/>
      <c r="F726" s="50"/>
    </row>
    <row r="727">
      <c r="A727" s="51" t="s">
        <v>4137</v>
      </c>
      <c r="B727" s="51"/>
      <c r="C727" s="51"/>
      <c r="D727" s="51" t="s">
        <v>4119</v>
      </c>
      <c r="E727" s="52"/>
      <c r="F727" s="52"/>
    </row>
    <row r="728">
      <c r="A728" s="49" t="s">
        <v>4167</v>
      </c>
      <c r="B728" s="49"/>
      <c r="C728" s="49"/>
      <c r="D728" s="49" t="s">
        <v>4441</v>
      </c>
      <c r="E728" s="50"/>
      <c r="F728" s="50"/>
    </row>
    <row r="729">
      <c r="A729" s="51" t="s">
        <v>4137</v>
      </c>
      <c r="B729" s="51"/>
      <c r="C729" s="51"/>
      <c r="D729" s="51" t="s">
        <v>4119</v>
      </c>
      <c r="E729" s="52"/>
      <c r="F729" s="52"/>
    </row>
    <row r="730">
      <c r="A730" s="49" t="s">
        <v>4103</v>
      </c>
      <c r="B730" s="49"/>
      <c r="C730" s="49"/>
      <c r="D730" s="49" t="s">
        <v>4940</v>
      </c>
      <c r="E730" s="50"/>
      <c r="F730" s="50"/>
    </row>
    <row r="731">
      <c r="A731" s="51" t="s">
        <v>4137</v>
      </c>
      <c r="B731" s="51"/>
      <c r="C731" s="51"/>
      <c r="D731" s="51" t="s">
        <v>4119</v>
      </c>
      <c r="E731" s="52"/>
      <c r="F731" s="52"/>
    </row>
    <row r="732">
      <c r="A732" s="49" t="s">
        <v>487</v>
      </c>
      <c r="B732" s="49"/>
      <c r="C732" s="49"/>
      <c r="D732" s="49" t="s">
        <v>4177</v>
      </c>
      <c r="E732" s="50"/>
      <c r="F732" s="50"/>
    </row>
    <row r="733">
      <c r="A733" s="51" t="s">
        <v>4109</v>
      </c>
      <c r="B733" s="51"/>
      <c r="C733" s="51"/>
      <c r="D733" s="51" t="s">
        <v>4941</v>
      </c>
      <c r="E733" s="52"/>
      <c r="F733" s="52"/>
    </row>
    <row r="734">
      <c r="A734" s="49" t="s">
        <v>4103</v>
      </c>
      <c r="B734" s="49"/>
      <c r="C734" s="49"/>
      <c r="D734" s="49" t="s">
        <v>4942</v>
      </c>
      <c r="E734" s="50"/>
      <c r="F734" s="50"/>
    </row>
    <row r="735">
      <c r="A735" s="51" t="s">
        <v>4943</v>
      </c>
      <c r="B735" s="51"/>
      <c r="C735" s="51"/>
      <c r="D735" s="51" t="s">
        <v>4944</v>
      </c>
      <c r="E735" s="52"/>
      <c r="F735" s="52"/>
    </row>
    <row r="736">
      <c r="A736" s="49" t="s">
        <v>4945</v>
      </c>
      <c r="B736" s="49"/>
      <c r="C736" s="49"/>
      <c r="D736" s="49" t="s">
        <v>492</v>
      </c>
      <c r="E736" s="50"/>
      <c r="F736" s="50"/>
    </row>
    <row r="737">
      <c r="A737" s="51" t="s">
        <v>4137</v>
      </c>
      <c r="B737" s="51"/>
      <c r="C737" s="51"/>
      <c r="D737" s="51" t="s">
        <v>4119</v>
      </c>
      <c r="E737" s="52"/>
      <c r="F737" s="52"/>
    </row>
    <row r="738">
      <c r="A738" s="49" t="s">
        <v>487</v>
      </c>
      <c r="B738" s="49"/>
      <c r="C738" s="49"/>
      <c r="D738" s="49" t="s">
        <v>4946</v>
      </c>
      <c r="E738" s="50"/>
      <c r="F738" s="50"/>
    </row>
    <row r="739">
      <c r="A739" s="51" t="s">
        <v>487</v>
      </c>
      <c r="B739" s="51"/>
      <c r="C739" s="51"/>
      <c r="D739" s="51" t="s">
        <v>4947</v>
      </c>
      <c r="E739" s="52"/>
      <c r="F739" s="52"/>
    </row>
    <row r="740">
      <c r="A740" s="49" t="s">
        <v>4137</v>
      </c>
      <c r="B740" s="49"/>
      <c r="C740" s="49"/>
      <c r="D740" s="49" t="s">
        <v>4119</v>
      </c>
      <c r="E740" s="50"/>
      <c r="F740" s="50"/>
    </row>
    <row r="741">
      <c r="A741" s="51" t="s">
        <v>4137</v>
      </c>
      <c r="B741" s="51"/>
      <c r="C741" s="51"/>
      <c r="D741" s="51" t="s">
        <v>4119</v>
      </c>
      <c r="E741" s="52"/>
      <c r="F741" s="52"/>
    </row>
    <row r="742">
      <c r="A742" s="49" t="s">
        <v>4119</v>
      </c>
      <c r="B742" s="49"/>
      <c r="C742" s="49"/>
      <c r="D742" s="49" t="s">
        <v>4119</v>
      </c>
      <c r="E742" s="50"/>
      <c r="F742" s="50"/>
    </row>
    <row r="743">
      <c r="A743" s="51" t="s">
        <v>4103</v>
      </c>
      <c r="B743" s="51"/>
      <c r="C743" s="51"/>
      <c r="D743" s="51" t="s">
        <v>4948</v>
      </c>
      <c r="E743" s="52"/>
      <c r="F743" s="52"/>
    </row>
    <row r="744">
      <c r="A744" s="49" t="s">
        <v>4137</v>
      </c>
      <c r="B744" s="49"/>
      <c r="C744" s="49"/>
      <c r="D744" s="49" t="s">
        <v>4119</v>
      </c>
      <c r="E744" s="50"/>
      <c r="F744" s="50"/>
    </row>
    <row r="745">
      <c r="A745" s="51" t="s">
        <v>487</v>
      </c>
      <c r="B745" s="51"/>
      <c r="C745" s="51"/>
      <c r="D745" s="51" t="s">
        <v>4949</v>
      </c>
      <c r="E745" s="52"/>
      <c r="F745" s="52"/>
    </row>
    <row r="746">
      <c r="A746" s="49" t="s">
        <v>4103</v>
      </c>
      <c r="B746" s="49"/>
      <c r="C746" s="49"/>
      <c r="D746" s="49" t="s">
        <v>4950</v>
      </c>
      <c r="E746" s="50"/>
      <c r="F746" s="50"/>
    </row>
    <row r="747">
      <c r="A747" s="51" t="s">
        <v>487</v>
      </c>
      <c r="B747" s="51"/>
      <c r="C747" s="51"/>
      <c r="D747" s="51" t="s">
        <v>4951</v>
      </c>
      <c r="E747" s="52"/>
      <c r="F747" s="52"/>
    </row>
    <row r="748">
      <c r="A748" s="49" t="s">
        <v>487</v>
      </c>
      <c r="B748" s="49"/>
      <c r="C748" s="49"/>
      <c r="D748" s="49" t="s">
        <v>4952</v>
      </c>
      <c r="E748" s="50"/>
      <c r="F748" s="50"/>
    </row>
    <row r="749">
      <c r="A749" s="51" t="s">
        <v>4109</v>
      </c>
      <c r="B749" s="51"/>
      <c r="C749" s="51"/>
      <c r="D749" s="51" t="s">
        <v>4953</v>
      </c>
      <c r="E749" s="52"/>
      <c r="F749" s="52"/>
    </row>
    <row r="750">
      <c r="A750" s="49" t="s">
        <v>487</v>
      </c>
      <c r="B750" s="49"/>
      <c r="C750" s="49"/>
      <c r="D750" s="49" t="s">
        <v>4441</v>
      </c>
      <c r="E750" s="50"/>
      <c r="F750" s="50"/>
    </row>
    <row r="751">
      <c r="A751" s="51" t="s">
        <v>487</v>
      </c>
      <c r="B751" s="51"/>
      <c r="C751" s="51"/>
      <c r="D751" s="51" t="s">
        <v>4954</v>
      </c>
      <c r="E751" s="52"/>
      <c r="F751" s="52"/>
    </row>
    <row r="752">
      <c r="A752" s="49" t="s">
        <v>4137</v>
      </c>
      <c r="B752" s="49"/>
      <c r="C752" s="49"/>
      <c r="D752" s="49" t="s">
        <v>4119</v>
      </c>
      <c r="E752" s="50"/>
      <c r="F752" s="50"/>
    </row>
    <row r="753">
      <c r="A753" s="51" t="s">
        <v>487</v>
      </c>
      <c r="B753" s="51"/>
      <c r="C753" s="51"/>
      <c r="D753" s="51" t="s">
        <v>4955</v>
      </c>
      <c r="E753" s="52"/>
      <c r="F753" s="52"/>
    </row>
    <row r="754">
      <c r="A754" s="49" t="s">
        <v>4956</v>
      </c>
      <c r="B754" s="49"/>
      <c r="C754" s="49"/>
      <c r="D754" s="49" t="s">
        <v>4957</v>
      </c>
      <c r="E754" s="50"/>
      <c r="F754" s="50"/>
    </row>
    <row r="755">
      <c r="A755" s="51" t="s">
        <v>4103</v>
      </c>
      <c r="B755" s="51"/>
      <c r="C755" s="51"/>
      <c r="D755" s="51" t="s">
        <v>4958</v>
      </c>
      <c r="E755" s="52"/>
      <c r="F755" s="52"/>
    </row>
    <row r="756">
      <c r="A756" s="49" t="s">
        <v>4119</v>
      </c>
      <c r="B756" s="49"/>
      <c r="C756" s="49"/>
      <c r="D756" s="49" t="s">
        <v>4119</v>
      </c>
      <c r="E756" s="50"/>
      <c r="F756" s="50"/>
    </row>
    <row r="757">
      <c r="A757" s="51" t="s">
        <v>4137</v>
      </c>
      <c r="B757" s="51"/>
      <c r="C757" s="51"/>
      <c r="D757" s="51" t="s">
        <v>4119</v>
      </c>
      <c r="E757" s="52"/>
      <c r="F757" s="52"/>
    </row>
    <row r="758">
      <c r="A758" s="49" t="s">
        <v>4137</v>
      </c>
      <c r="B758" s="49"/>
      <c r="C758" s="49"/>
      <c r="D758" s="49" t="s">
        <v>4119</v>
      </c>
      <c r="E758" s="50"/>
      <c r="F758" s="50"/>
    </row>
    <row r="759">
      <c r="A759" s="51" t="s">
        <v>4103</v>
      </c>
      <c r="B759" s="51"/>
      <c r="C759" s="51"/>
      <c r="D759" s="51" t="s">
        <v>4959</v>
      </c>
      <c r="E759" s="52"/>
      <c r="F759" s="52"/>
    </row>
    <row r="760">
      <c r="A760" s="49" t="s">
        <v>4137</v>
      </c>
      <c r="B760" s="49"/>
      <c r="C760" s="49"/>
      <c r="D760" s="49" t="s">
        <v>4119</v>
      </c>
      <c r="E760" s="50"/>
      <c r="F760" s="50"/>
    </row>
    <row r="761">
      <c r="A761" s="51" t="s">
        <v>487</v>
      </c>
      <c r="B761" s="51"/>
      <c r="C761" s="51"/>
      <c r="D761" s="51" t="s">
        <v>4960</v>
      </c>
      <c r="E761" s="52"/>
      <c r="F761" s="52"/>
    </row>
    <row r="762">
      <c r="A762" s="49" t="s">
        <v>4137</v>
      </c>
      <c r="B762" s="49"/>
      <c r="C762" s="49"/>
      <c r="D762" s="49" t="s">
        <v>4119</v>
      </c>
      <c r="E762" s="50"/>
      <c r="F762" s="50"/>
    </row>
    <row r="763">
      <c r="A763" s="51" t="s">
        <v>4103</v>
      </c>
      <c r="B763" s="51"/>
      <c r="C763" s="51"/>
      <c r="D763" s="51" t="s">
        <v>4961</v>
      </c>
      <c r="E763" s="52"/>
      <c r="F763" s="52"/>
    </row>
    <row r="764">
      <c r="A764" s="49" t="s">
        <v>4103</v>
      </c>
      <c r="B764" s="49"/>
      <c r="C764" s="49"/>
      <c r="D764" s="49" t="s">
        <v>4962</v>
      </c>
      <c r="E764" s="50"/>
      <c r="F764" s="50"/>
    </row>
    <row r="765">
      <c r="A765" s="51" t="s">
        <v>487</v>
      </c>
      <c r="B765" s="51"/>
      <c r="C765" s="51"/>
      <c r="D765" s="51" t="s">
        <v>4963</v>
      </c>
      <c r="E765" s="52"/>
      <c r="F765" s="52"/>
    </row>
    <row r="766">
      <c r="A766" s="49" t="s">
        <v>4082</v>
      </c>
      <c r="B766" s="49"/>
      <c r="C766" s="49"/>
      <c r="D766" s="49" t="s">
        <v>4964</v>
      </c>
      <c r="E766" s="50"/>
      <c r="F766" s="50"/>
    </row>
    <row r="767">
      <c r="A767" s="51" t="s">
        <v>4119</v>
      </c>
      <c r="B767" s="51"/>
      <c r="C767" s="51"/>
      <c r="D767" s="51" t="s">
        <v>4119</v>
      </c>
      <c r="E767" s="52"/>
      <c r="F767" s="52"/>
    </row>
    <row r="768">
      <c r="A768" s="49" t="s">
        <v>487</v>
      </c>
      <c r="B768" s="49"/>
      <c r="C768" s="49"/>
      <c r="D768" s="49" t="s">
        <v>4965</v>
      </c>
      <c r="E768" s="50"/>
      <c r="F768" s="50"/>
    </row>
    <row r="769">
      <c r="A769" s="51" t="s">
        <v>487</v>
      </c>
      <c r="B769" s="51"/>
      <c r="C769" s="51"/>
      <c r="D769" s="51" t="s">
        <v>4966</v>
      </c>
      <c r="E769" s="52"/>
      <c r="F769" s="52"/>
    </row>
    <row r="770">
      <c r="A770" s="49" t="s">
        <v>487</v>
      </c>
      <c r="B770" s="49"/>
      <c r="C770" s="49"/>
      <c r="D770" s="49" t="s">
        <v>4967</v>
      </c>
      <c r="E770" s="50"/>
      <c r="F770" s="50"/>
    </row>
    <row r="771">
      <c r="A771" s="51" t="s">
        <v>4119</v>
      </c>
      <c r="B771" s="51"/>
      <c r="C771" s="51"/>
      <c r="D771" s="51" t="s">
        <v>4119</v>
      </c>
      <c r="E771" s="52"/>
      <c r="F771" s="52"/>
    </row>
    <row r="772">
      <c r="A772" s="49" t="s">
        <v>4137</v>
      </c>
      <c r="B772" s="49"/>
      <c r="C772" s="49"/>
      <c r="D772" s="49" t="s">
        <v>4198</v>
      </c>
      <c r="E772" s="50"/>
      <c r="F772" s="50"/>
    </row>
    <row r="773">
      <c r="A773" s="51" t="s">
        <v>487</v>
      </c>
      <c r="B773" s="51"/>
      <c r="C773" s="51"/>
      <c r="D773" s="51" t="s">
        <v>4968</v>
      </c>
      <c r="E773" s="52"/>
      <c r="F773" s="52"/>
    </row>
    <row r="774">
      <c r="A774" s="49" t="s">
        <v>4103</v>
      </c>
      <c r="B774" s="49"/>
      <c r="C774" s="49"/>
      <c r="D774" s="49" t="s">
        <v>4712</v>
      </c>
      <c r="E774" s="50"/>
      <c r="F774" s="50"/>
    </row>
    <row r="775">
      <c r="A775" s="51" t="s">
        <v>4969</v>
      </c>
      <c r="B775" s="51"/>
      <c r="C775" s="51"/>
      <c r="D775" s="51" t="s">
        <v>4970</v>
      </c>
      <c r="E775" s="52"/>
      <c r="F775" s="52"/>
    </row>
    <row r="776">
      <c r="A776" s="49" t="s">
        <v>4716</v>
      </c>
      <c r="B776" s="49"/>
      <c r="C776" s="49"/>
      <c r="D776" s="49" t="s">
        <v>4971</v>
      </c>
      <c r="E776" s="50"/>
      <c r="F776" s="50"/>
    </row>
    <row r="777">
      <c r="A777" s="51" t="s">
        <v>4720</v>
      </c>
      <c r="B777" s="51"/>
      <c r="C777" s="51"/>
      <c r="D777" s="51" t="s">
        <v>4972</v>
      </c>
      <c r="E777" s="52"/>
      <c r="F777" s="52"/>
    </row>
    <row r="778">
      <c r="A778" s="49" t="s">
        <v>487</v>
      </c>
      <c r="B778" s="49"/>
      <c r="C778" s="49"/>
      <c r="D778" s="49" t="s">
        <v>4973</v>
      </c>
      <c r="E778" s="50"/>
      <c r="F778" s="50"/>
    </row>
    <row r="779">
      <c r="A779" s="51" t="s">
        <v>4167</v>
      </c>
      <c r="B779" s="51"/>
      <c r="C779" s="51"/>
      <c r="D779" s="51" t="s">
        <v>4974</v>
      </c>
      <c r="E779" s="52"/>
      <c r="F779" s="52"/>
    </row>
    <row r="780">
      <c r="A780" s="49" t="s">
        <v>487</v>
      </c>
      <c r="B780" s="49"/>
      <c r="C780" s="49"/>
      <c r="D780" s="49" t="s">
        <v>4975</v>
      </c>
      <c r="E780" s="50"/>
      <c r="F780" s="50"/>
    </row>
    <row r="781">
      <c r="A781" s="51" t="s">
        <v>4918</v>
      </c>
      <c r="B781" s="51"/>
      <c r="C781" s="51"/>
      <c r="D781" s="51" t="s">
        <v>4351</v>
      </c>
      <c r="E781" s="52"/>
      <c r="F781" s="52"/>
    </row>
    <row r="782">
      <c r="A782" s="49" t="s">
        <v>487</v>
      </c>
      <c r="B782" s="49"/>
      <c r="C782" s="49"/>
      <c r="D782" s="49" t="s">
        <v>4976</v>
      </c>
      <c r="E782" s="50"/>
      <c r="F782" s="50"/>
    </row>
    <row r="783">
      <c r="A783" s="51" t="s">
        <v>4582</v>
      </c>
      <c r="B783" s="51"/>
      <c r="C783" s="51"/>
      <c r="D783" s="51" t="s">
        <v>4977</v>
      </c>
      <c r="E783" s="52"/>
      <c r="F783" s="52"/>
    </row>
    <row r="784">
      <c r="A784" s="49" t="s">
        <v>4103</v>
      </c>
      <c r="B784" s="49"/>
      <c r="C784" s="49"/>
      <c r="D784" s="49" t="s">
        <v>4978</v>
      </c>
      <c r="E784" s="50"/>
      <c r="F784" s="50"/>
    </row>
    <row r="785">
      <c r="A785" s="51" t="s">
        <v>487</v>
      </c>
      <c r="B785" s="51"/>
      <c r="C785" s="51"/>
      <c r="D785" s="51" t="s">
        <v>4979</v>
      </c>
      <c r="E785" s="52"/>
      <c r="F785" s="52"/>
    </row>
    <row r="786">
      <c r="A786" s="49" t="s">
        <v>487</v>
      </c>
      <c r="B786" s="49"/>
      <c r="C786" s="49"/>
      <c r="D786" s="49" t="s">
        <v>4980</v>
      </c>
      <c r="E786" s="50"/>
      <c r="F786" s="50"/>
    </row>
    <row r="787">
      <c r="A787" s="51" t="s">
        <v>4981</v>
      </c>
      <c r="B787" s="51"/>
      <c r="C787" s="51"/>
      <c r="D787" s="51" t="s">
        <v>4982</v>
      </c>
      <c r="E787" s="52"/>
      <c r="F787" s="52"/>
    </row>
    <row r="788">
      <c r="A788" s="49" t="s">
        <v>4103</v>
      </c>
      <c r="B788" s="49"/>
      <c r="C788" s="49"/>
      <c r="D788" s="49" t="s">
        <v>4738</v>
      </c>
      <c r="E788" s="50"/>
      <c r="F788" s="50"/>
    </row>
    <row r="789">
      <c r="A789" s="51" t="s">
        <v>487</v>
      </c>
      <c r="B789" s="51"/>
      <c r="C789" s="51"/>
      <c r="D789" s="51" t="s">
        <v>4983</v>
      </c>
      <c r="E789" s="52"/>
      <c r="F789" s="52"/>
    </row>
    <row r="790">
      <c r="A790" s="49" t="s">
        <v>4582</v>
      </c>
      <c r="B790" s="49"/>
      <c r="C790" s="49"/>
      <c r="D790" s="49" t="s">
        <v>4984</v>
      </c>
      <c r="E790" s="50"/>
      <c r="F790" s="50"/>
    </row>
    <row r="791">
      <c r="A791" s="51" t="s">
        <v>487</v>
      </c>
      <c r="B791" s="51"/>
      <c r="C791" s="51"/>
      <c r="D791" s="51" t="s">
        <v>4985</v>
      </c>
      <c r="E791" s="52"/>
      <c r="F791" s="52"/>
    </row>
    <row r="792">
      <c r="A792" s="49" t="s">
        <v>4137</v>
      </c>
      <c r="B792" s="49"/>
      <c r="C792" s="49"/>
      <c r="D792" s="49" t="s">
        <v>4119</v>
      </c>
      <c r="E792" s="50"/>
      <c r="F792" s="50"/>
    </row>
    <row r="793">
      <c r="A793" s="51" t="s">
        <v>4167</v>
      </c>
      <c r="B793" s="51"/>
      <c r="C793" s="51"/>
      <c r="D793" s="51" t="s">
        <v>4986</v>
      </c>
      <c r="E793" s="52"/>
      <c r="F793" s="52"/>
    </row>
    <row r="794">
      <c r="A794" s="49" t="s">
        <v>487</v>
      </c>
      <c r="B794" s="49"/>
      <c r="C794" s="49"/>
      <c r="D794" s="49" t="s">
        <v>4987</v>
      </c>
      <c r="E794" s="50"/>
      <c r="F794" s="50"/>
    </row>
    <row r="795">
      <c r="A795" s="51" t="s">
        <v>4137</v>
      </c>
      <c r="B795" s="51"/>
      <c r="C795" s="51"/>
      <c r="D795" s="51" t="s">
        <v>4119</v>
      </c>
      <c r="E795" s="52"/>
      <c r="F795" s="52"/>
    </row>
    <row r="796">
      <c r="A796" s="49" t="s">
        <v>487</v>
      </c>
      <c r="B796" s="49"/>
      <c r="C796" s="49"/>
      <c r="D796" s="49" t="s">
        <v>4988</v>
      </c>
      <c r="E796" s="50"/>
      <c r="F796" s="50"/>
    </row>
    <row r="797">
      <c r="A797" s="51" t="s">
        <v>4582</v>
      </c>
      <c r="B797" s="51"/>
      <c r="C797" s="51"/>
      <c r="D797" s="51" t="s">
        <v>4989</v>
      </c>
      <c r="E797" s="52"/>
      <c r="F797" s="52"/>
    </row>
    <row r="798">
      <c r="A798" s="49" t="s">
        <v>487</v>
      </c>
      <c r="B798" s="49"/>
      <c r="C798" s="49"/>
      <c r="D798" s="49" t="s">
        <v>4990</v>
      </c>
      <c r="E798" s="50"/>
      <c r="F798" s="50"/>
    </row>
    <row r="799">
      <c r="A799" s="51" t="s">
        <v>487</v>
      </c>
      <c r="B799" s="51"/>
      <c r="C799" s="51"/>
      <c r="D799" s="51" t="s">
        <v>4991</v>
      </c>
      <c r="E799" s="52"/>
      <c r="F799" s="52"/>
    </row>
    <row r="800">
      <c r="A800" s="49" t="s">
        <v>487</v>
      </c>
      <c r="B800" s="49"/>
      <c r="C800" s="49"/>
      <c r="D800" s="49" t="s">
        <v>4992</v>
      </c>
      <c r="E800" s="50"/>
      <c r="F800" s="50"/>
    </row>
    <row r="801">
      <c r="A801" s="51" t="s">
        <v>4137</v>
      </c>
      <c r="B801" s="51"/>
      <c r="C801" s="51"/>
      <c r="D801" s="51" t="s">
        <v>4119</v>
      </c>
      <c r="E801" s="52"/>
      <c r="F801" s="52"/>
    </row>
    <row r="802">
      <c r="A802" s="49" t="s">
        <v>4119</v>
      </c>
      <c r="B802" s="49"/>
      <c r="C802" s="49"/>
      <c r="D802" s="49" t="s">
        <v>4119</v>
      </c>
      <c r="E802" s="50"/>
      <c r="F802" s="50"/>
    </row>
    <row r="803">
      <c r="A803" s="51" t="s">
        <v>4137</v>
      </c>
      <c r="B803" s="51"/>
      <c r="C803" s="51"/>
      <c r="D803" s="51" t="s">
        <v>4119</v>
      </c>
      <c r="E803" s="52"/>
      <c r="F803" s="52"/>
    </row>
    <row r="804">
      <c r="A804" s="49" t="s">
        <v>4137</v>
      </c>
      <c r="B804" s="49"/>
      <c r="C804" s="49"/>
      <c r="D804" s="49" t="s">
        <v>4119</v>
      </c>
      <c r="E804" s="50"/>
      <c r="F804" s="50"/>
    </row>
    <row r="805">
      <c r="A805" s="51" t="s">
        <v>4137</v>
      </c>
      <c r="B805" s="51"/>
      <c r="C805" s="51"/>
      <c r="D805" s="51" t="s">
        <v>4529</v>
      </c>
      <c r="E805" s="52"/>
      <c r="F805" s="52"/>
    </row>
    <row r="806">
      <c r="A806" s="49" t="s">
        <v>4993</v>
      </c>
      <c r="B806" s="49"/>
      <c r="C806" s="49"/>
      <c r="D806" s="49" t="s">
        <v>4994</v>
      </c>
      <c r="E806" s="50"/>
      <c r="F806" s="50"/>
    </row>
    <row r="807">
      <c r="A807" s="51" t="s">
        <v>4137</v>
      </c>
      <c r="B807" s="51"/>
      <c r="C807" s="51"/>
      <c r="D807" s="51" t="s">
        <v>4119</v>
      </c>
      <c r="E807" s="52"/>
      <c r="F807" s="52"/>
    </row>
    <row r="808">
      <c r="A808" s="49" t="s">
        <v>487</v>
      </c>
      <c r="B808" s="49"/>
      <c r="C808" s="49"/>
      <c r="D808" s="49" t="s">
        <v>4995</v>
      </c>
      <c r="E808" s="50"/>
      <c r="F808" s="50"/>
    </row>
    <row r="809">
      <c r="A809" s="51" t="s">
        <v>4119</v>
      </c>
      <c r="B809" s="51"/>
      <c r="C809" s="51"/>
      <c r="D809" s="51" t="s">
        <v>4119</v>
      </c>
      <c r="E809" s="52"/>
      <c r="F809" s="52"/>
    </row>
    <row r="810">
      <c r="A810" s="49" t="s">
        <v>4137</v>
      </c>
      <c r="B810" s="49"/>
      <c r="C810" s="49"/>
      <c r="D810" s="49" t="s">
        <v>4119</v>
      </c>
      <c r="E810" s="50"/>
      <c r="F810" s="50"/>
    </row>
    <row r="811">
      <c r="A811" s="51" t="s">
        <v>4119</v>
      </c>
      <c r="B811" s="51"/>
      <c r="C811" s="51"/>
      <c r="D811" s="51" t="s">
        <v>4119</v>
      </c>
      <c r="E811" s="52"/>
      <c r="F811" s="52"/>
    </row>
    <row r="812">
      <c r="A812" s="49" t="s">
        <v>4119</v>
      </c>
      <c r="B812" s="49"/>
      <c r="C812" s="49"/>
      <c r="D812" s="49" t="s">
        <v>4119</v>
      </c>
      <c r="E812" s="50"/>
      <c r="F812" s="50"/>
    </row>
    <row r="813">
      <c r="A813" s="51" t="s">
        <v>4119</v>
      </c>
      <c r="B813" s="51"/>
      <c r="C813" s="51"/>
      <c r="D813" s="51" t="s">
        <v>4119</v>
      </c>
      <c r="E813" s="52"/>
      <c r="F813" s="52"/>
    </row>
    <row r="814">
      <c r="A814" s="49" t="s">
        <v>4119</v>
      </c>
      <c r="B814" s="49"/>
      <c r="C814" s="49"/>
      <c r="D814" s="49" t="s">
        <v>4119</v>
      </c>
      <c r="E814" s="50"/>
      <c r="F814" s="50"/>
    </row>
    <row r="815">
      <c r="A815" s="51" t="s">
        <v>487</v>
      </c>
      <c r="B815" s="51"/>
      <c r="C815" s="51"/>
      <c r="D815" s="51" t="s">
        <v>4996</v>
      </c>
      <c r="E815" s="52"/>
      <c r="F815" s="52"/>
    </row>
    <row r="816">
      <c r="A816" s="49" t="s">
        <v>487</v>
      </c>
      <c r="B816" s="49"/>
      <c r="C816" s="49"/>
      <c r="D816" s="49" t="s">
        <v>4997</v>
      </c>
      <c r="E816" s="50"/>
      <c r="F816" s="50"/>
    </row>
    <row r="817">
      <c r="A817" s="51" t="s">
        <v>487</v>
      </c>
      <c r="B817" s="51"/>
      <c r="C817" s="51"/>
      <c r="D817" s="51" t="s">
        <v>4998</v>
      </c>
      <c r="E817" s="52"/>
      <c r="F817" s="52"/>
    </row>
    <row r="818">
      <c r="A818" s="49" t="s">
        <v>4119</v>
      </c>
      <c r="B818" s="49"/>
      <c r="C818" s="49"/>
      <c r="D818" s="49" t="s">
        <v>4119</v>
      </c>
      <c r="E818" s="50"/>
      <c r="F818" s="50"/>
    </row>
    <row r="819">
      <c r="A819" s="51" t="s">
        <v>4582</v>
      </c>
      <c r="B819" s="51"/>
      <c r="C819" s="51"/>
      <c r="D819" s="51" t="s">
        <v>4999</v>
      </c>
      <c r="E819" s="52"/>
      <c r="F819" s="52"/>
    </row>
    <row r="820">
      <c r="A820" s="49" t="s">
        <v>487</v>
      </c>
      <c r="B820" s="49"/>
      <c r="C820" s="49"/>
      <c r="D820" s="49" t="s">
        <v>5000</v>
      </c>
      <c r="E820" s="50"/>
      <c r="F820" s="50"/>
    </row>
    <row r="821">
      <c r="A821" s="51" t="s">
        <v>4137</v>
      </c>
      <c r="B821" s="51"/>
      <c r="C821" s="51"/>
      <c r="D821" s="51" t="s">
        <v>5001</v>
      </c>
      <c r="E821" s="52"/>
      <c r="F821" s="52"/>
    </row>
    <row r="822">
      <c r="A822" s="49" t="s">
        <v>4119</v>
      </c>
      <c r="B822" s="49"/>
      <c r="C822" s="49"/>
      <c r="D822" s="49" t="s">
        <v>4119</v>
      </c>
      <c r="E822" s="50"/>
      <c r="F822" s="50"/>
    </row>
    <row r="823">
      <c r="A823" s="51" t="s">
        <v>4137</v>
      </c>
      <c r="B823" s="51"/>
      <c r="C823" s="51"/>
      <c r="D823" s="51" t="s">
        <v>4119</v>
      </c>
      <c r="E823" s="52"/>
      <c r="F823" s="52"/>
    </row>
    <row r="824">
      <c r="A824" s="49" t="s">
        <v>4103</v>
      </c>
      <c r="B824" s="49"/>
      <c r="C824" s="49"/>
      <c r="D824" s="49" t="s">
        <v>5002</v>
      </c>
      <c r="E824" s="50"/>
      <c r="F824" s="50"/>
    </row>
    <row r="825">
      <c r="A825" s="51" t="s">
        <v>487</v>
      </c>
      <c r="B825" s="51"/>
      <c r="C825" s="51"/>
      <c r="D825" s="51" t="s">
        <v>5003</v>
      </c>
      <c r="E825" s="52"/>
      <c r="F825" s="52"/>
    </row>
    <row r="826">
      <c r="A826" s="49" t="s">
        <v>4103</v>
      </c>
      <c r="B826" s="49"/>
      <c r="C826" s="49"/>
      <c r="D826" s="49" t="s">
        <v>5004</v>
      </c>
      <c r="E826" s="50"/>
      <c r="F826" s="50"/>
    </row>
    <row r="827">
      <c r="A827" s="51" t="s">
        <v>4109</v>
      </c>
      <c r="B827" s="51"/>
      <c r="C827" s="51"/>
      <c r="D827" s="51" t="s">
        <v>5005</v>
      </c>
      <c r="E827" s="52"/>
      <c r="F827" s="52"/>
    </row>
    <row r="828">
      <c r="A828" s="49" t="s">
        <v>487</v>
      </c>
      <c r="B828" s="49"/>
      <c r="C828" s="49"/>
      <c r="D828" s="49" t="s">
        <v>5006</v>
      </c>
      <c r="E828" s="50"/>
      <c r="F828" s="50"/>
    </row>
    <row r="829">
      <c r="A829" s="51" t="s">
        <v>487</v>
      </c>
      <c r="B829" s="51"/>
      <c r="C829" s="51"/>
      <c r="D829" s="51" t="s">
        <v>5007</v>
      </c>
      <c r="E829" s="52"/>
      <c r="F829" s="52"/>
    </row>
    <row r="830">
      <c r="A830" s="49" t="s">
        <v>4119</v>
      </c>
      <c r="B830" s="49"/>
      <c r="C830" s="49"/>
      <c r="D830" s="49" t="s">
        <v>4119</v>
      </c>
      <c r="E830" s="50"/>
      <c r="F830" s="50"/>
    </row>
    <row r="831">
      <c r="A831" s="51" t="s">
        <v>487</v>
      </c>
      <c r="B831" s="51"/>
      <c r="C831" s="51"/>
      <c r="D831" s="51" t="s">
        <v>5008</v>
      </c>
      <c r="E831" s="52"/>
      <c r="F831" s="52"/>
    </row>
    <row r="832">
      <c r="A832" s="49" t="s">
        <v>4109</v>
      </c>
      <c r="B832" s="49"/>
      <c r="C832" s="49"/>
      <c r="D832" s="49" t="s">
        <v>5009</v>
      </c>
      <c r="E832" s="50"/>
      <c r="F832" s="50"/>
    </row>
    <row r="833">
      <c r="A833" s="51" t="s">
        <v>4103</v>
      </c>
      <c r="B833" s="51"/>
      <c r="C833" s="51"/>
      <c r="D833" s="51" t="s">
        <v>4820</v>
      </c>
      <c r="E833" s="52"/>
      <c r="F833" s="52"/>
    </row>
    <row r="834">
      <c r="A834" s="49" t="s">
        <v>487</v>
      </c>
      <c r="B834" s="49"/>
      <c r="C834" s="49"/>
      <c r="D834" s="49" t="s">
        <v>5010</v>
      </c>
      <c r="E834" s="50"/>
      <c r="F834" s="50"/>
    </row>
    <row r="835">
      <c r="A835" s="51" t="s">
        <v>4167</v>
      </c>
      <c r="B835" s="51"/>
      <c r="C835" s="51"/>
      <c r="D835" s="51" t="s">
        <v>5011</v>
      </c>
      <c r="E835" s="52"/>
      <c r="F835" s="52"/>
    </row>
    <row r="836">
      <c r="A836" s="49" t="s">
        <v>4103</v>
      </c>
      <c r="B836" s="49"/>
      <c r="C836" s="49"/>
      <c r="D836" s="49" t="s">
        <v>5012</v>
      </c>
      <c r="E836" s="50"/>
      <c r="F836" s="50"/>
    </row>
    <row r="837">
      <c r="A837" s="51" t="s">
        <v>4119</v>
      </c>
      <c r="B837" s="51"/>
      <c r="C837" s="51"/>
      <c r="D837" s="51" t="s">
        <v>4119</v>
      </c>
      <c r="E837" s="52"/>
      <c r="F837" s="52"/>
    </row>
    <row r="838">
      <c r="A838" s="49" t="s">
        <v>4167</v>
      </c>
      <c r="B838" s="49"/>
      <c r="C838" s="49"/>
      <c r="D838" s="49" t="s">
        <v>4394</v>
      </c>
      <c r="E838" s="50"/>
      <c r="F838" s="50"/>
    </row>
    <row r="839">
      <c r="A839" s="51" t="s">
        <v>487</v>
      </c>
      <c r="B839" s="51"/>
      <c r="C839" s="51"/>
      <c r="D839" s="51" t="s">
        <v>5013</v>
      </c>
      <c r="E839" s="52"/>
      <c r="F839" s="52"/>
    </row>
    <row r="840">
      <c r="A840" s="49" t="s">
        <v>4103</v>
      </c>
      <c r="B840" s="49"/>
      <c r="C840" s="49"/>
      <c r="D840" s="49" t="s">
        <v>5014</v>
      </c>
      <c r="E840" s="50"/>
      <c r="F840" s="50"/>
    </row>
    <row r="841">
      <c r="A841" s="51" t="s">
        <v>4103</v>
      </c>
      <c r="B841" s="51"/>
      <c r="C841" s="51"/>
      <c r="D841" s="51" t="s">
        <v>5015</v>
      </c>
      <c r="E841" s="52"/>
      <c r="F841" s="52"/>
    </row>
    <row r="842">
      <c r="A842" s="49" t="s">
        <v>487</v>
      </c>
      <c r="B842" s="49"/>
      <c r="C842" s="49"/>
      <c r="D842" s="49" t="s">
        <v>5016</v>
      </c>
      <c r="E842" s="50"/>
      <c r="F842" s="50"/>
    </row>
    <row r="843">
      <c r="A843" s="51" t="s">
        <v>4409</v>
      </c>
      <c r="B843" s="51"/>
      <c r="C843" s="51"/>
      <c r="D843" s="51" t="s">
        <v>5017</v>
      </c>
      <c r="E843" s="52"/>
      <c r="F843" s="52"/>
    </row>
    <row r="844">
      <c r="A844" s="49" t="s">
        <v>4103</v>
      </c>
      <c r="B844" s="49"/>
      <c r="C844" s="49"/>
      <c r="D844" s="49" t="s">
        <v>5018</v>
      </c>
      <c r="E844" s="50"/>
      <c r="F844" s="50"/>
    </row>
    <row r="845">
      <c r="A845" s="51" t="s">
        <v>4103</v>
      </c>
      <c r="B845" s="51"/>
      <c r="C845" s="51"/>
      <c r="D845" s="51" t="s">
        <v>5019</v>
      </c>
      <c r="E845" s="52"/>
      <c r="F845" s="52"/>
    </row>
    <row r="846">
      <c r="A846" s="49" t="s">
        <v>5020</v>
      </c>
      <c r="B846" s="49"/>
      <c r="C846" s="49"/>
      <c r="D846" s="49" t="s">
        <v>4119</v>
      </c>
      <c r="E846" s="50"/>
      <c r="F846" s="50"/>
    </row>
    <row r="847">
      <c r="A847" s="51" t="s">
        <v>4224</v>
      </c>
      <c r="B847" s="51"/>
      <c r="C847" s="51"/>
      <c r="D847" s="51" t="s">
        <v>4119</v>
      </c>
      <c r="E847" s="52"/>
      <c r="F847" s="52"/>
    </row>
    <row r="848">
      <c r="A848" s="49" t="s">
        <v>5021</v>
      </c>
      <c r="B848" s="49"/>
      <c r="C848" s="49"/>
      <c r="D848" s="49" t="s">
        <v>5022</v>
      </c>
      <c r="E848" s="50"/>
      <c r="F848" s="50"/>
    </row>
    <row r="849">
      <c r="A849" s="51" t="s">
        <v>4409</v>
      </c>
      <c r="B849" s="51"/>
      <c r="C849" s="51"/>
      <c r="D849" s="51" t="s">
        <v>5023</v>
      </c>
      <c r="E849" s="52"/>
      <c r="F849" s="52"/>
    </row>
    <row r="850">
      <c r="A850" s="49" t="s">
        <v>4109</v>
      </c>
      <c r="B850" s="49"/>
      <c r="C850" s="49"/>
      <c r="D850" s="49" t="s">
        <v>5024</v>
      </c>
      <c r="E850" s="50"/>
      <c r="F850" s="50"/>
    </row>
    <row r="851">
      <c r="A851" s="51" t="s">
        <v>4103</v>
      </c>
      <c r="B851" s="51"/>
      <c r="C851" s="51"/>
      <c r="D851" s="51" t="s">
        <v>4594</v>
      </c>
      <c r="E851" s="52"/>
      <c r="F851" s="52"/>
    </row>
    <row r="852">
      <c r="A852" s="49" t="s">
        <v>4167</v>
      </c>
      <c r="B852" s="49"/>
      <c r="C852" s="49"/>
      <c r="D852" s="49" t="s">
        <v>5025</v>
      </c>
      <c r="E852" s="50"/>
      <c r="F852" s="50"/>
    </row>
    <row r="853">
      <c r="A853" s="51" t="s">
        <v>487</v>
      </c>
      <c r="B853" s="51"/>
      <c r="C853" s="51"/>
      <c r="D853" s="51" t="s">
        <v>5026</v>
      </c>
      <c r="E853" s="52"/>
      <c r="F853" s="52"/>
    </row>
    <row r="854">
      <c r="A854" s="49" t="s">
        <v>4103</v>
      </c>
      <c r="B854" s="49"/>
      <c r="C854" s="49"/>
      <c r="D854" s="49" t="s">
        <v>5027</v>
      </c>
      <c r="E854" s="50"/>
      <c r="F854" s="50"/>
    </row>
    <row r="855">
      <c r="A855" s="51" t="s">
        <v>4103</v>
      </c>
      <c r="B855" s="51"/>
      <c r="C855" s="51"/>
      <c r="D855" s="51" t="s">
        <v>5028</v>
      </c>
      <c r="E855" s="52"/>
      <c r="F855" s="52"/>
    </row>
    <row r="856">
      <c r="A856" s="49" t="s">
        <v>4103</v>
      </c>
      <c r="B856" s="49"/>
      <c r="C856" s="49"/>
      <c r="D856" s="49" t="s">
        <v>5029</v>
      </c>
      <c r="E856" s="50"/>
      <c r="F856" s="50"/>
    </row>
    <row r="857">
      <c r="A857" s="51" t="s">
        <v>4103</v>
      </c>
      <c r="B857" s="51"/>
      <c r="C857" s="51"/>
      <c r="D857" s="51" t="s">
        <v>4934</v>
      </c>
      <c r="E857" s="52"/>
      <c r="F857" s="52"/>
    </row>
    <row r="858">
      <c r="A858" s="49" t="s">
        <v>487</v>
      </c>
      <c r="B858" s="49"/>
      <c r="C858" s="49"/>
      <c r="D858" s="49" t="s">
        <v>5030</v>
      </c>
      <c r="E858" s="50"/>
      <c r="F858" s="50"/>
    </row>
    <row r="859">
      <c r="A859" s="51" t="s">
        <v>4119</v>
      </c>
      <c r="B859" s="51"/>
      <c r="C859" s="51"/>
      <c r="D859" s="51" t="s">
        <v>4119</v>
      </c>
      <c r="E859" s="52"/>
      <c r="F859" s="52"/>
    </row>
    <row r="860">
      <c r="A860" s="49" t="s">
        <v>4119</v>
      </c>
      <c r="B860" s="49"/>
      <c r="C860" s="49"/>
      <c r="D860" s="49" t="s">
        <v>4119</v>
      </c>
      <c r="E860" s="50"/>
      <c r="F860" s="50"/>
    </row>
    <row r="861">
      <c r="A861" s="51" t="s">
        <v>4103</v>
      </c>
      <c r="B861" s="51"/>
      <c r="C861" s="51"/>
      <c r="D861" s="51" t="s">
        <v>5031</v>
      </c>
      <c r="E861" s="52"/>
      <c r="F861" s="52"/>
    </row>
    <row r="862">
      <c r="A862" s="49" t="s">
        <v>4103</v>
      </c>
      <c r="B862" s="49"/>
      <c r="C862" s="49"/>
      <c r="D862" s="49" t="s">
        <v>5032</v>
      </c>
      <c r="E862" s="50"/>
      <c r="F862" s="50"/>
    </row>
    <row r="863">
      <c r="A863" s="51" t="s">
        <v>4119</v>
      </c>
      <c r="B863" s="51"/>
      <c r="C863" s="51"/>
      <c r="D863" s="51" t="s">
        <v>4119</v>
      </c>
      <c r="E863" s="52"/>
      <c r="F863" s="52"/>
    </row>
    <row r="864">
      <c r="A864" s="49" t="s">
        <v>4119</v>
      </c>
      <c r="B864" s="49"/>
      <c r="C864" s="49"/>
      <c r="D864" s="49" t="s">
        <v>4119</v>
      </c>
      <c r="E864" s="50"/>
      <c r="F864" s="50"/>
    </row>
    <row r="865">
      <c r="A865" s="51" t="s">
        <v>487</v>
      </c>
      <c r="B865" s="51"/>
      <c r="C865" s="51"/>
      <c r="D865" s="51" t="s">
        <v>5033</v>
      </c>
      <c r="E865" s="52"/>
      <c r="F865" s="52"/>
    </row>
    <row r="866">
      <c r="A866" s="49" t="s">
        <v>4103</v>
      </c>
      <c r="B866" s="49"/>
      <c r="C866" s="49"/>
      <c r="D866" s="49" t="s">
        <v>5034</v>
      </c>
      <c r="E866" s="50"/>
      <c r="F866" s="50"/>
    </row>
    <row r="867">
      <c r="A867" s="51" t="s">
        <v>487</v>
      </c>
      <c r="B867" s="51"/>
      <c r="C867" s="51"/>
      <c r="D867" s="51" t="s">
        <v>5035</v>
      </c>
      <c r="E867" s="52"/>
      <c r="F867" s="52"/>
    </row>
    <row r="868">
      <c r="A868" s="49" t="s">
        <v>487</v>
      </c>
      <c r="B868" s="49"/>
      <c r="C868" s="49"/>
      <c r="D868" s="49" t="s">
        <v>5036</v>
      </c>
      <c r="E868" s="50"/>
      <c r="F868" s="50"/>
    </row>
    <row r="869">
      <c r="A869" s="51" t="s">
        <v>487</v>
      </c>
      <c r="B869" s="51"/>
      <c r="C869" s="51"/>
      <c r="D869" s="51" t="s">
        <v>5037</v>
      </c>
      <c r="E869" s="52"/>
      <c r="F869" s="52"/>
    </row>
    <row r="870">
      <c r="A870" s="49" t="s">
        <v>4119</v>
      </c>
      <c r="B870" s="49"/>
      <c r="C870" s="49"/>
      <c r="D870" s="49" t="s">
        <v>4119</v>
      </c>
      <c r="E870" s="50"/>
      <c r="F870" s="50"/>
    </row>
    <row r="871">
      <c r="A871" s="51" t="s">
        <v>4119</v>
      </c>
      <c r="B871" s="51"/>
      <c r="C871" s="51"/>
      <c r="D871" s="51" t="s">
        <v>4119</v>
      </c>
      <c r="E871" s="52"/>
      <c r="F871" s="52"/>
    </row>
    <row r="872">
      <c r="A872" s="49" t="s">
        <v>4167</v>
      </c>
      <c r="B872" s="49"/>
      <c r="C872" s="49"/>
      <c r="D872" s="49" t="s">
        <v>5038</v>
      </c>
      <c r="E872" s="50"/>
      <c r="F872" s="50"/>
    </row>
    <row r="873">
      <c r="A873" s="51" t="s">
        <v>487</v>
      </c>
      <c r="B873" s="51"/>
      <c r="C873" s="51"/>
      <c r="D873" s="51" t="s">
        <v>5039</v>
      </c>
      <c r="E873" s="52"/>
      <c r="F873" s="52"/>
    </row>
    <row r="874">
      <c r="A874" s="49" t="s">
        <v>487</v>
      </c>
      <c r="B874" s="49"/>
      <c r="C874" s="49"/>
      <c r="D874" s="49" t="s">
        <v>5040</v>
      </c>
      <c r="E874" s="50"/>
      <c r="F874" s="50"/>
    </row>
    <row r="875">
      <c r="A875" s="51" t="s">
        <v>487</v>
      </c>
      <c r="B875" s="51"/>
      <c r="C875" s="51"/>
      <c r="D875" s="51" t="s">
        <v>5041</v>
      </c>
      <c r="E875" s="52"/>
      <c r="F875" s="52"/>
    </row>
    <row r="876">
      <c r="A876" s="49" t="s">
        <v>4082</v>
      </c>
      <c r="B876" s="49"/>
      <c r="C876" s="49"/>
      <c r="D876" s="49" t="s">
        <v>5042</v>
      </c>
      <c r="E876" s="50"/>
      <c r="F876" s="50"/>
    </row>
    <row r="877">
      <c r="A877" s="51" t="s">
        <v>4103</v>
      </c>
      <c r="B877" s="51"/>
      <c r="C877" s="51"/>
      <c r="D877" s="51" t="s">
        <v>5043</v>
      </c>
      <c r="E877" s="52"/>
      <c r="F877" s="52"/>
    </row>
    <row r="878">
      <c r="A878" s="49" t="s">
        <v>487</v>
      </c>
      <c r="B878" s="49"/>
      <c r="C878" s="49"/>
      <c r="D878" s="49" t="s">
        <v>5044</v>
      </c>
      <c r="E878" s="50"/>
      <c r="F878" s="50"/>
    </row>
    <row r="879">
      <c r="A879" s="51" t="s">
        <v>4082</v>
      </c>
      <c r="B879" s="51"/>
      <c r="C879" s="51"/>
      <c r="D879" s="51" t="s">
        <v>5045</v>
      </c>
      <c r="E879" s="52"/>
      <c r="F879" s="52"/>
    </row>
    <row r="880">
      <c r="A880" s="49" t="s">
        <v>487</v>
      </c>
      <c r="B880" s="49"/>
      <c r="C880" s="49"/>
      <c r="D880" s="49" t="s">
        <v>5046</v>
      </c>
      <c r="E880" s="50"/>
      <c r="F880" s="50"/>
    </row>
    <row r="881">
      <c r="A881" s="51" t="s">
        <v>487</v>
      </c>
      <c r="B881" s="51"/>
      <c r="C881" s="51"/>
      <c r="D881" s="51" t="s">
        <v>5047</v>
      </c>
      <c r="E881" s="52"/>
      <c r="F881" s="52"/>
    </row>
    <row r="882">
      <c r="A882" s="49" t="s">
        <v>4167</v>
      </c>
      <c r="B882" s="49"/>
      <c r="C882" s="49"/>
      <c r="D882" s="49" t="s">
        <v>5048</v>
      </c>
      <c r="E882" s="50"/>
      <c r="F882" s="50"/>
    </row>
    <row r="883">
      <c r="A883" s="51" t="s">
        <v>4103</v>
      </c>
      <c r="B883" s="51"/>
      <c r="C883" s="51"/>
      <c r="D883" s="51" t="s">
        <v>5049</v>
      </c>
      <c r="E883" s="52"/>
      <c r="F883" s="52"/>
    </row>
    <row r="884">
      <c r="A884" s="49" t="s">
        <v>4103</v>
      </c>
      <c r="B884" s="49"/>
      <c r="C884" s="49"/>
      <c r="D884" s="49" t="s">
        <v>5050</v>
      </c>
      <c r="E884" s="50"/>
      <c r="F884" s="50"/>
    </row>
    <row r="885">
      <c r="A885" s="51" t="s">
        <v>4103</v>
      </c>
      <c r="B885" s="51"/>
      <c r="C885" s="51"/>
      <c r="D885" s="51" t="s">
        <v>5051</v>
      </c>
      <c r="E885" s="52"/>
      <c r="F885" s="52"/>
    </row>
    <row r="886">
      <c r="A886" s="49" t="s">
        <v>4082</v>
      </c>
      <c r="B886" s="49"/>
      <c r="C886" s="49"/>
      <c r="D886" s="49" t="s">
        <v>5052</v>
      </c>
      <c r="E886" s="50"/>
      <c r="F886" s="50"/>
    </row>
    <row r="887">
      <c r="A887" s="51" t="s">
        <v>4137</v>
      </c>
      <c r="B887" s="51"/>
      <c r="C887" s="51"/>
      <c r="D887" s="51" t="s">
        <v>4119</v>
      </c>
      <c r="E887" s="52"/>
      <c r="F887" s="52"/>
    </row>
    <row r="888">
      <c r="A888" s="49" t="s">
        <v>4137</v>
      </c>
      <c r="B888" s="49"/>
      <c r="C888" s="49"/>
      <c r="D888" s="49" t="s">
        <v>4119</v>
      </c>
      <c r="E888" s="50"/>
      <c r="F888" s="50"/>
    </row>
    <row r="889">
      <c r="A889" s="51" t="s">
        <v>4137</v>
      </c>
      <c r="B889" s="51"/>
      <c r="C889" s="51"/>
      <c r="D889" s="51" t="s">
        <v>4119</v>
      </c>
      <c r="E889" s="52"/>
      <c r="F889" s="52"/>
    </row>
    <row r="890">
      <c r="A890" s="49" t="s">
        <v>4409</v>
      </c>
      <c r="B890" s="49"/>
      <c r="C890" s="49"/>
      <c r="D890" s="49" t="s">
        <v>5053</v>
      </c>
      <c r="E890" s="50"/>
      <c r="F890" s="50"/>
    </row>
    <row r="891">
      <c r="A891" s="51" t="s">
        <v>4119</v>
      </c>
      <c r="B891" s="51"/>
      <c r="C891" s="51"/>
      <c r="D891" s="51" t="s">
        <v>4119</v>
      </c>
      <c r="E891" s="52"/>
      <c r="F891" s="52"/>
    </row>
    <row r="892">
      <c r="A892" s="49" t="s">
        <v>4103</v>
      </c>
      <c r="B892" s="49"/>
      <c r="C892" s="49"/>
      <c r="D892" s="49" t="s">
        <v>5054</v>
      </c>
      <c r="E892" s="50"/>
      <c r="F892" s="50"/>
    </row>
    <row r="893">
      <c r="A893" s="51" t="s">
        <v>4137</v>
      </c>
      <c r="B893" s="51"/>
      <c r="C893" s="51"/>
      <c r="D893" s="51" t="s">
        <v>4119</v>
      </c>
      <c r="E893" s="52"/>
      <c r="F893" s="52"/>
    </row>
    <row r="894">
      <c r="A894" s="49" t="s">
        <v>487</v>
      </c>
      <c r="B894" s="49"/>
      <c r="C894" s="49"/>
      <c r="D894" s="49" t="s">
        <v>5055</v>
      </c>
      <c r="E894" s="50"/>
      <c r="F894" s="50"/>
    </row>
    <row r="895">
      <c r="A895" s="51" t="s">
        <v>4103</v>
      </c>
      <c r="B895" s="51"/>
      <c r="C895" s="51"/>
      <c r="D895" s="51" t="s">
        <v>5056</v>
      </c>
      <c r="E895" s="52"/>
      <c r="F895" s="52"/>
    </row>
    <row r="896">
      <c r="A896" s="49" t="s">
        <v>4103</v>
      </c>
      <c r="B896" s="49"/>
      <c r="C896" s="49"/>
      <c r="D896" s="49" t="s">
        <v>5057</v>
      </c>
      <c r="E896" s="50"/>
      <c r="F896" s="50"/>
    </row>
    <row r="897">
      <c r="A897" s="51" t="s">
        <v>4109</v>
      </c>
      <c r="B897" s="51"/>
      <c r="C897" s="51"/>
      <c r="D897" s="51" t="s">
        <v>5058</v>
      </c>
      <c r="E897" s="52"/>
      <c r="F897" s="52"/>
    </row>
    <row r="898">
      <c r="A898" s="49" t="s">
        <v>4103</v>
      </c>
      <c r="B898" s="49"/>
      <c r="C898" s="49"/>
      <c r="D898" s="49" t="s">
        <v>5059</v>
      </c>
      <c r="E898" s="50"/>
      <c r="F898" s="50"/>
    </row>
    <row r="899">
      <c r="A899" s="51" t="s">
        <v>487</v>
      </c>
      <c r="B899" s="51"/>
      <c r="C899" s="51"/>
      <c r="D899" s="51" t="s">
        <v>5060</v>
      </c>
      <c r="E899" s="52"/>
      <c r="F899" s="52"/>
    </row>
    <row r="900">
      <c r="A900" s="49" t="s">
        <v>487</v>
      </c>
      <c r="B900" s="49"/>
      <c r="C900" s="49"/>
      <c r="D900" s="49" t="s">
        <v>5061</v>
      </c>
      <c r="E900" s="50"/>
      <c r="F900" s="50"/>
    </row>
    <row r="901">
      <c r="A901" s="51" t="s">
        <v>487</v>
      </c>
      <c r="B901" s="51"/>
      <c r="C901" s="51"/>
      <c r="D901" s="51" t="s">
        <v>5062</v>
      </c>
      <c r="E901" s="52"/>
      <c r="F901" s="52"/>
    </row>
    <row r="902">
      <c r="A902" s="49" t="s">
        <v>487</v>
      </c>
      <c r="B902" s="49"/>
      <c r="C902" s="49"/>
      <c r="D902" s="49" t="s">
        <v>5063</v>
      </c>
      <c r="E902" s="50"/>
      <c r="F902" s="50"/>
    </row>
    <row r="903">
      <c r="A903" s="51" t="s">
        <v>4109</v>
      </c>
      <c r="B903" s="51"/>
      <c r="C903" s="51"/>
      <c r="D903" s="51" t="s">
        <v>5064</v>
      </c>
      <c r="E903" s="52"/>
      <c r="F903" s="52"/>
    </row>
    <row r="904">
      <c r="A904" s="49" t="s">
        <v>487</v>
      </c>
      <c r="B904" s="49"/>
      <c r="C904" s="49"/>
      <c r="D904" s="49" t="s">
        <v>5065</v>
      </c>
      <c r="E904" s="50"/>
      <c r="F904" s="50"/>
    </row>
    <row r="905">
      <c r="A905" s="51" t="s">
        <v>487</v>
      </c>
      <c r="B905" s="51"/>
      <c r="C905" s="51"/>
      <c r="D905" s="51" t="s">
        <v>5066</v>
      </c>
      <c r="E905" s="52"/>
      <c r="F905" s="52"/>
    </row>
    <row r="906">
      <c r="A906" s="49" t="s">
        <v>5067</v>
      </c>
      <c r="B906" s="49"/>
      <c r="C906" s="49"/>
      <c r="D906" s="49" t="s">
        <v>4511</v>
      </c>
      <c r="E906" s="50"/>
      <c r="F906" s="50"/>
    </row>
    <row r="907">
      <c r="A907" s="51" t="s">
        <v>4109</v>
      </c>
      <c r="B907" s="51"/>
      <c r="C907" s="51"/>
      <c r="D907" s="51" t="s">
        <v>5068</v>
      </c>
      <c r="E907" s="52"/>
      <c r="F907" s="52"/>
    </row>
    <row r="908">
      <c r="A908" s="49" t="s">
        <v>4103</v>
      </c>
      <c r="B908" s="49"/>
      <c r="C908" s="49"/>
      <c r="D908" s="49" t="s">
        <v>5069</v>
      </c>
      <c r="E908" s="50"/>
      <c r="F908" s="50"/>
    </row>
    <row r="909">
      <c r="A909" s="51" t="s">
        <v>487</v>
      </c>
      <c r="B909" s="51"/>
      <c r="C909" s="51"/>
      <c r="D909" s="51" t="s">
        <v>5070</v>
      </c>
      <c r="E909" s="52"/>
      <c r="F909" s="52"/>
    </row>
    <row r="910">
      <c r="A910" s="49" t="s">
        <v>487</v>
      </c>
      <c r="B910" s="49"/>
      <c r="C910" s="49"/>
      <c r="D910" s="49" t="s">
        <v>5071</v>
      </c>
      <c r="E910" s="50"/>
      <c r="F910" s="50"/>
    </row>
    <row r="911">
      <c r="A911" s="51" t="s">
        <v>487</v>
      </c>
      <c r="B911" s="51"/>
      <c r="C911" s="51"/>
      <c r="D911" s="51" t="s">
        <v>5072</v>
      </c>
      <c r="E911" s="52"/>
      <c r="F911" s="52"/>
    </row>
    <row r="912">
      <c r="A912" s="49" t="s">
        <v>4119</v>
      </c>
      <c r="B912" s="49"/>
      <c r="C912" s="49"/>
      <c r="D912" s="49" t="s">
        <v>4119</v>
      </c>
      <c r="E912" s="50"/>
      <c r="F912" s="50"/>
    </row>
    <row r="913">
      <c r="A913" s="51" t="s">
        <v>487</v>
      </c>
      <c r="B913" s="51"/>
      <c r="C913" s="51"/>
      <c r="D913" s="51" t="s">
        <v>5073</v>
      </c>
      <c r="E913" s="52"/>
      <c r="F913" s="52"/>
    </row>
    <row r="914">
      <c r="A914" s="49" t="s">
        <v>487</v>
      </c>
      <c r="B914" s="49"/>
      <c r="C914" s="49"/>
      <c r="D914" s="49" t="s">
        <v>5074</v>
      </c>
      <c r="E914" s="50"/>
      <c r="F914" s="50"/>
    </row>
    <row r="915">
      <c r="A915" s="51" t="s">
        <v>487</v>
      </c>
      <c r="B915" s="51"/>
      <c r="C915" s="51"/>
      <c r="D915" s="51" t="s">
        <v>5075</v>
      </c>
      <c r="E915" s="52"/>
      <c r="F915" s="52"/>
    </row>
    <row r="916">
      <c r="A916" s="49" t="s">
        <v>487</v>
      </c>
      <c r="B916" s="49"/>
      <c r="C916" s="49"/>
      <c r="D916" s="49" t="s">
        <v>5076</v>
      </c>
      <c r="E916" s="50"/>
      <c r="F916" s="50"/>
    </row>
    <row r="917">
      <c r="A917" s="51" t="s">
        <v>4137</v>
      </c>
      <c r="B917" s="51"/>
      <c r="C917" s="51"/>
      <c r="D917" s="51" t="s">
        <v>4119</v>
      </c>
      <c r="E917" s="52"/>
      <c r="F917" s="52"/>
    </row>
    <row r="918">
      <c r="A918" s="49" t="s">
        <v>4119</v>
      </c>
      <c r="B918" s="49"/>
      <c r="C918" s="49"/>
      <c r="D918" s="49" t="s">
        <v>4119</v>
      </c>
      <c r="E918" s="50"/>
      <c r="F918" s="50"/>
    </row>
    <row r="919">
      <c r="A919" s="51" t="s">
        <v>487</v>
      </c>
      <c r="B919" s="51"/>
      <c r="C919" s="51"/>
      <c r="D919" s="51" t="s">
        <v>5077</v>
      </c>
      <c r="E919" s="52"/>
      <c r="F919" s="52"/>
    </row>
    <row r="920">
      <c r="A920" s="49" t="s">
        <v>5078</v>
      </c>
      <c r="B920" s="49"/>
      <c r="C920" s="49"/>
      <c r="D920" s="49" t="s">
        <v>5079</v>
      </c>
      <c r="E920" s="50"/>
      <c r="F920" s="50"/>
    </row>
    <row r="921">
      <c r="A921" s="51" t="s">
        <v>4137</v>
      </c>
      <c r="B921" s="51"/>
      <c r="C921" s="51"/>
      <c r="D921" s="51" t="s">
        <v>5080</v>
      </c>
      <c r="E921" s="52"/>
      <c r="F921" s="52"/>
    </row>
    <row r="922">
      <c r="A922" s="49" t="s">
        <v>487</v>
      </c>
      <c r="B922" s="49"/>
      <c r="C922" s="49"/>
      <c r="D922" s="49" t="s">
        <v>5081</v>
      </c>
      <c r="E922" s="50"/>
      <c r="F922" s="50"/>
    </row>
    <row r="923">
      <c r="A923" s="51" t="s">
        <v>4082</v>
      </c>
      <c r="B923" s="51"/>
      <c r="C923" s="51"/>
      <c r="D923" s="51" t="s">
        <v>5082</v>
      </c>
      <c r="E923" s="52"/>
      <c r="F923" s="52"/>
    </row>
    <row r="924">
      <c r="A924" s="49" t="s">
        <v>4119</v>
      </c>
      <c r="B924" s="49"/>
      <c r="C924" s="49"/>
      <c r="D924" s="49" t="s">
        <v>4119</v>
      </c>
      <c r="E924" s="50"/>
      <c r="F924" s="50"/>
    </row>
    <row r="925">
      <c r="A925" s="51" t="s">
        <v>4103</v>
      </c>
      <c r="B925" s="51"/>
      <c r="C925" s="51"/>
      <c r="D925" s="51" t="s">
        <v>5083</v>
      </c>
      <c r="E925" s="52"/>
      <c r="F925" s="52"/>
    </row>
    <row r="926">
      <c r="A926" s="49" t="s">
        <v>4137</v>
      </c>
      <c r="B926" s="49"/>
      <c r="C926" s="49"/>
      <c r="D926" s="49" t="s">
        <v>4119</v>
      </c>
      <c r="E926" s="50"/>
      <c r="F926" s="50"/>
    </row>
    <row r="927">
      <c r="A927" s="51" t="s">
        <v>4582</v>
      </c>
      <c r="B927" s="51"/>
      <c r="C927" s="51"/>
      <c r="D927" s="51" t="s">
        <v>5084</v>
      </c>
      <c r="E927" s="52"/>
      <c r="F927" s="52"/>
    </row>
    <row r="928">
      <c r="A928" s="49" t="s">
        <v>4103</v>
      </c>
      <c r="B928" s="49"/>
      <c r="C928" s="49"/>
      <c r="D928" s="49" t="s">
        <v>5085</v>
      </c>
      <c r="E928" s="50"/>
      <c r="F928" s="50"/>
    </row>
    <row r="929">
      <c r="A929" s="51" t="s">
        <v>4109</v>
      </c>
      <c r="B929" s="51"/>
      <c r="C929" s="51"/>
      <c r="D929" s="51" t="s">
        <v>5086</v>
      </c>
      <c r="E929" s="52"/>
      <c r="F929" s="52"/>
    </row>
    <row r="930">
      <c r="A930" s="49" t="s">
        <v>487</v>
      </c>
      <c r="B930" s="49"/>
      <c r="C930" s="49"/>
      <c r="D930" s="49" t="s">
        <v>5087</v>
      </c>
      <c r="E930" s="50"/>
      <c r="F930" s="50"/>
    </row>
    <row r="931">
      <c r="A931" s="51" t="s">
        <v>487</v>
      </c>
      <c r="B931" s="51"/>
      <c r="C931" s="51"/>
      <c r="D931" s="51" t="s">
        <v>5088</v>
      </c>
      <c r="E931" s="52"/>
      <c r="F931" s="52"/>
    </row>
    <row r="932">
      <c r="A932" s="49" t="s">
        <v>4582</v>
      </c>
      <c r="B932" s="49"/>
      <c r="C932" s="49"/>
      <c r="D932" s="49" t="s">
        <v>5089</v>
      </c>
      <c r="E932" s="50"/>
      <c r="F932" s="50"/>
    </row>
    <row r="933">
      <c r="A933" s="51" t="s">
        <v>4137</v>
      </c>
      <c r="B933" s="51"/>
      <c r="C933" s="51"/>
      <c r="D933" s="51" t="s">
        <v>4119</v>
      </c>
      <c r="E933" s="52"/>
      <c r="F933" s="52"/>
    </row>
    <row r="934">
      <c r="A934" s="49" t="s">
        <v>4109</v>
      </c>
      <c r="B934" s="49"/>
      <c r="C934" s="49"/>
      <c r="D934" s="49" t="s">
        <v>5090</v>
      </c>
      <c r="E934" s="50"/>
      <c r="F934" s="50"/>
    </row>
    <row r="935">
      <c r="A935" s="51" t="s">
        <v>4720</v>
      </c>
      <c r="B935" s="51"/>
      <c r="C935" s="51"/>
      <c r="D935" s="51" t="s">
        <v>5091</v>
      </c>
      <c r="E935" s="52"/>
      <c r="F935" s="52"/>
    </row>
    <row r="936">
      <c r="A936" s="60"/>
      <c r="B936" s="60"/>
      <c r="C936" s="60"/>
      <c r="D936" s="60"/>
      <c r="E936" s="61"/>
      <c r="F936" s="61"/>
    </row>
    <row r="937">
      <c r="A937" s="62"/>
      <c r="B937" s="62"/>
      <c r="C937" s="62"/>
      <c r="D937" s="62"/>
      <c r="E937" s="63"/>
      <c r="F937" s="63"/>
    </row>
    <row r="938">
      <c r="A938" s="60"/>
      <c r="B938" s="60"/>
      <c r="C938" s="60"/>
      <c r="D938" s="60"/>
      <c r="E938" s="61"/>
      <c r="F938" s="61"/>
    </row>
    <row r="939">
      <c r="A939" s="62"/>
      <c r="B939" s="62"/>
      <c r="C939" s="62"/>
      <c r="D939" s="62"/>
      <c r="E939" s="63"/>
      <c r="F939" s="63"/>
    </row>
    <row r="940">
      <c r="A940" s="60"/>
      <c r="B940" s="60"/>
      <c r="C940" s="60"/>
      <c r="D940" s="60"/>
      <c r="E940" s="61"/>
      <c r="F940" s="61"/>
    </row>
    <row r="941">
      <c r="A941" s="62"/>
      <c r="B941" s="62"/>
      <c r="C941" s="62"/>
      <c r="D941" s="62"/>
      <c r="E941" s="63"/>
      <c r="F941" s="63"/>
    </row>
    <row r="942">
      <c r="A942" s="60"/>
      <c r="B942" s="60"/>
      <c r="C942" s="60"/>
      <c r="D942" s="60"/>
      <c r="E942" s="61"/>
      <c r="F942" s="61"/>
    </row>
    <row r="943">
      <c r="A943" s="62"/>
      <c r="B943" s="62"/>
      <c r="C943" s="62"/>
      <c r="D943" s="62"/>
      <c r="E943" s="63"/>
      <c r="F943" s="63"/>
    </row>
    <row r="944">
      <c r="A944" s="60"/>
      <c r="B944" s="60"/>
      <c r="C944" s="60"/>
      <c r="D944" s="60"/>
      <c r="E944" s="61"/>
      <c r="F944" s="61"/>
    </row>
    <row r="945">
      <c r="A945" s="62"/>
      <c r="B945" s="62"/>
      <c r="C945" s="62"/>
      <c r="D945" s="62"/>
      <c r="E945" s="63"/>
      <c r="F945" s="63"/>
    </row>
    <row r="946">
      <c r="A946" s="60"/>
      <c r="B946" s="60"/>
      <c r="C946" s="60"/>
      <c r="D946" s="60"/>
      <c r="E946" s="61"/>
      <c r="F946" s="61"/>
    </row>
    <row r="947">
      <c r="A947" s="62"/>
      <c r="B947" s="62"/>
      <c r="C947" s="62"/>
      <c r="D947" s="62"/>
      <c r="E947" s="63"/>
      <c r="F947" s="63"/>
    </row>
    <row r="948">
      <c r="A948" s="60"/>
      <c r="B948" s="60"/>
      <c r="C948" s="60"/>
      <c r="D948" s="60"/>
      <c r="E948" s="61"/>
      <c r="F948" s="61"/>
    </row>
    <row r="949">
      <c r="A949" s="62"/>
      <c r="B949" s="62"/>
      <c r="C949" s="62"/>
      <c r="D949" s="62"/>
      <c r="E949" s="63"/>
      <c r="F949" s="63"/>
    </row>
    <row r="950">
      <c r="A950" s="60"/>
      <c r="B950" s="60"/>
      <c r="C950" s="60"/>
      <c r="D950" s="60"/>
      <c r="E950" s="61"/>
      <c r="F950" s="61"/>
    </row>
    <row r="951">
      <c r="A951" s="62"/>
      <c r="B951" s="62"/>
      <c r="C951" s="62"/>
      <c r="D951" s="62"/>
      <c r="E951" s="63"/>
      <c r="F951" s="63"/>
    </row>
    <row r="952">
      <c r="A952" s="60"/>
      <c r="B952" s="60"/>
      <c r="C952" s="60"/>
      <c r="D952" s="60"/>
      <c r="E952" s="61"/>
      <c r="F952" s="61"/>
    </row>
    <row r="953">
      <c r="A953" s="62"/>
      <c r="B953" s="62"/>
      <c r="C953" s="62"/>
      <c r="D953" s="62"/>
      <c r="E953" s="63"/>
      <c r="F953" s="63"/>
    </row>
    <row r="954">
      <c r="A954" s="60"/>
      <c r="B954" s="60"/>
      <c r="C954" s="60"/>
      <c r="D954" s="60"/>
      <c r="E954" s="61"/>
      <c r="F954" s="61"/>
    </row>
    <row r="955">
      <c r="A955" s="62"/>
      <c r="B955" s="62"/>
      <c r="C955" s="62"/>
      <c r="D955" s="62"/>
      <c r="E955" s="63"/>
      <c r="F955" s="63"/>
    </row>
    <row r="956">
      <c r="A956" s="60"/>
      <c r="B956" s="60"/>
      <c r="C956" s="60"/>
      <c r="D956" s="60"/>
      <c r="E956" s="61"/>
      <c r="F956" s="61"/>
    </row>
    <row r="957">
      <c r="A957" s="62"/>
      <c r="B957" s="62"/>
      <c r="C957" s="62"/>
      <c r="D957" s="62"/>
      <c r="E957" s="63"/>
      <c r="F957" s="63"/>
    </row>
    <row r="958">
      <c r="A958" s="60"/>
      <c r="B958" s="60"/>
      <c r="C958" s="60"/>
      <c r="D958" s="60"/>
      <c r="E958" s="61"/>
      <c r="F958" s="61"/>
    </row>
    <row r="959">
      <c r="A959" s="62"/>
      <c r="B959" s="62"/>
      <c r="C959" s="62"/>
      <c r="D959" s="62"/>
      <c r="E959" s="63"/>
      <c r="F959" s="63"/>
    </row>
    <row r="960">
      <c r="A960" s="60"/>
      <c r="B960" s="60"/>
      <c r="C960" s="60"/>
      <c r="D960" s="60"/>
      <c r="E960" s="61"/>
      <c r="F960" s="61"/>
    </row>
    <row r="961">
      <c r="A961" s="62"/>
      <c r="B961" s="62"/>
      <c r="C961" s="62"/>
      <c r="D961" s="62"/>
      <c r="E961" s="63"/>
      <c r="F961" s="63"/>
    </row>
    <row r="962">
      <c r="A962" s="60"/>
      <c r="B962" s="60"/>
      <c r="C962" s="60"/>
      <c r="D962" s="60"/>
      <c r="E962" s="61"/>
      <c r="F962" s="61"/>
    </row>
    <row r="963">
      <c r="A963" s="62"/>
      <c r="B963" s="62"/>
      <c r="C963" s="62"/>
      <c r="D963" s="62"/>
      <c r="E963" s="63"/>
      <c r="F963" s="63"/>
    </row>
    <row r="964">
      <c r="A964" s="60"/>
      <c r="B964" s="60"/>
      <c r="C964" s="60"/>
      <c r="D964" s="60"/>
      <c r="E964" s="61"/>
      <c r="F964" s="61"/>
    </row>
    <row r="965">
      <c r="A965" s="62"/>
      <c r="B965" s="62"/>
      <c r="C965" s="62"/>
      <c r="D965" s="62"/>
      <c r="E965" s="63"/>
      <c r="F965" s="63"/>
    </row>
    <row r="966">
      <c r="A966" s="60"/>
      <c r="B966" s="60"/>
      <c r="C966" s="60"/>
      <c r="D966" s="60"/>
      <c r="E966" s="61"/>
      <c r="F966" s="61"/>
    </row>
    <row r="967">
      <c r="A967" s="62"/>
      <c r="B967" s="62"/>
      <c r="C967" s="62"/>
      <c r="D967" s="62"/>
      <c r="E967" s="63"/>
      <c r="F967" s="63"/>
    </row>
    <row r="968">
      <c r="A968" s="60"/>
      <c r="B968" s="60"/>
      <c r="C968" s="60"/>
      <c r="D968" s="60"/>
      <c r="E968" s="61"/>
      <c r="F968" s="61"/>
    </row>
    <row r="969">
      <c r="A969" s="62"/>
      <c r="B969" s="62"/>
      <c r="C969" s="62"/>
      <c r="D969" s="62"/>
      <c r="E969" s="63"/>
      <c r="F969" s="63"/>
    </row>
    <row r="970">
      <c r="A970" s="60"/>
      <c r="B970" s="60"/>
      <c r="C970" s="60"/>
      <c r="D970" s="60"/>
      <c r="E970" s="61"/>
      <c r="F970" s="61"/>
    </row>
    <row r="971">
      <c r="A971" s="62"/>
      <c r="B971" s="62"/>
      <c r="C971" s="62"/>
      <c r="D971" s="62"/>
      <c r="E971" s="63"/>
      <c r="F971" s="63"/>
    </row>
    <row r="972">
      <c r="A972" s="60"/>
      <c r="B972" s="60"/>
      <c r="C972" s="60"/>
      <c r="D972" s="60"/>
      <c r="E972" s="61"/>
      <c r="F972" s="61"/>
    </row>
    <row r="973">
      <c r="A973" s="62"/>
      <c r="B973" s="62"/>
      <c r="C973" s="62"/>
      <c r="D973" s="62"/>
      <c r="E973" s="63"/>
      <c r="F973" s="63"/>
    </row>
    <row r="974">
      <c r="A974" s="60"/>
      <c r="B974" s="60"/>
      <c r="C974" s="60"/>
      <c r="D974" s="60"/>
      <c r="E974" s="61"/>
      <c r="F974" s="61"/>
    </row>
    <row r="975">
      <c r="A975" s="62"/>
      <c r="B975" s="62"/>
      <c r="C975" s="62"/>
      <c r="D975" s="62"/>
      <c r="E975" s="63"/>
      <c r="F975" s="63"/>
    </row>
    <row r="976">
      <c r="A976" s="60"/>
      <c r="B976" s="60"/>
      <c r="C976" s="60"/>
      <c r="D976" s="60"/>
      <c r="E976" s="61"/>
      <c r="F976" s="61"/>
    </row>
    <row r="977">
      <c r="A977" s="62"/>
      <c r="B977" s="62"/>
      <c r="C977" s="62"/>
      <c r="D977" s="62"/>
      <c r="E977" s="63"/>
      <c r="F977" s="63"/>
    </row>
    <row r="978">
      <c r="A978" s="60"/>
      <c r="B978" s="60"/>
      <c r="C978" s="60"/>
      <c r="D978" s="60"/>
      <c r="E978" s="61"/>
      <c r="F978" s="61"/>
    </row>
    <row r="979">
      <c r="A979" s="62"/>
      <c r="B979" s="62"/>
      <c r="C979" s="62"/>
      <c r="D979" s="62"/>
      <c r="E979" s="63"/>
      <c r="F979" s="63"/>
    </row>
    <row r="980">
      <c r="A980" s="60"/>
      <c r="B980" s="60"/>
      <c r="C980" s="60"/>
      <c r="D980" s="60"/>
      <c r="E980" s="61"/>
      <c r="F980" s="61"/>
    </row>
    <row r="981">
      <c r="A981" s="62"/>
      <c r="B981" s="62"/>
      <c r="C981" s="62"/>
      <c r="D981" s="62"/>
      <c r="E981" s="63"/>
      <c r="F981" s="63"/>
    </row>
    <row r="982">
      <c r="A982" s="60"/>
      <c r="B982" s="60"/>
      <c r="C982" s="60"/>
      <c r="D982" s="60"/>
      <c r="E982" s="61"/>
      <c r="F982" s="61"/>
    </row>
    <row r="983">
      <c r="A983" s="62"/>
      <c r="B983" s="62"/>
      <c r="C983" s="62"/>
      <c r="D983" s="62"/>
      <c r="E983" s="63"/>
      <c r="F983" s="63"/>
    </row>
    <row r="984">
      <c r="A984" s="60"/>
      <c r="B984" s="60"/>
      <c r="C984" s="60"/>
      <c r="D984" s="60"/>
      <c r="E984" s="61"/>
      <c r="F984" s="61"/>
    </row>
    <row r="985">
      <c r="A985" s="62"/>
      <c r="B985" s="62"/>
      <c r="C985" s="62"/>
      <c r="D985" s="62"/>
      <c r="E985" s="63"/>
      <c r="F985" s="63"/>
    </row>
    <row r="986">
      <c r="A986" s="60"/>
      <c r="B986" s="60"/>
      <c r="C986" s="60"/>
      <c r="D986" s="60"/>
      <c r="E986" s="61"/>
      <c r="F986" s="61"/>
    </row>
    <row r="987">
      <c r="A987" s="62"/>
      <c r="B987" s="62"/>
      <c r="C987" s="62"/>
      <c r="D987" s="62"/>
      <c r="E987" s="63"/>
      <c r="F987" s="63"/>
    </row>
    <row r="988">
      <c r="A988" s="60"/>
      <c r="B988" s="60"/>
      <c r="C988" s="60"/>
      <c r="D988" s="60"/>
      <c r="E988" s="61"/>
      <c r="F988" s="61"/>
    </row>
    <row r="989">
      <c r="A989" s="62"/>
      <c r="B989" s="62"/>
      <c r="C989" s="62"/>
      <c r="D989" s="62"/>
      <c r="E989" s="63"/>
      <c r="F989" s="63"/>
    </row>
    <row r="990">
      <c r="A990" s="60"/>
      <c r="B990" s="60"/>
      <c r="C990" s="60"/>
      <c r="D990" s="60"/>
      <c r="E990" s="61"/>
      <c r="F990" s="61"/>
    </row>
    <row r="991">
      <c r="A991" s="62"/>
      <c r="B991" s="62"/>
      <c r="C991" s="62"/>
      <c r="D991" s="62"/>
      <c r="E991" s="63"/>
      <c r="F991" s="63"/>
    </row>
    <row r="992">
      <c r="A992" s="60"/>
      <c r="B992" s="60"/>
      <c r="C992" s="60"/>
      <c r="D992" s="60"/>
      <c r="E992" s="61"/>
      <c r="F992" s="61"/>
    </row>
    <row r="993">
      <c r="A993" s="62"/>
      <c r="B993" s="62"/>
      <c r="C993" s="62"/>
      <c r="D993" s="62"/>
      <c r="E993" s="63"/>
      <c r="F993" s="63"/>
    </row>
    <row r="994">
      <c r="A994" s="60"/>
      <c r="B994" s="60"/>
      <c r="C994" s="60"/>
      <c r="D994" s="60"/>
      <c r="E994" s="61"/>
      <c r="F994" s="61"/>
    </row>
    <row r="995">
      <c r="A995" s="62"/>
      <c r="B995" s="62"/>
      <c r="C995" s="62"/>
      <c r="D995" s="62"/>
      <c r="E995" s="63"/>
      <c r="F995" s="63"/>
    </row>
    <row r="996">
      <c r="A996" s="60"/>
      <c r="B996" s="60"/>
      <c r="C996" s="60"/>
      <c r="D996" s="60"/>
      <c r="E996" s="61"/>
      <c r="F996" s="61"/>
    </row>
    <row r="997">
      <c r="A997" s="62"/>
      <c r="B997" s="62"/>
      <c r="C997" s="62"/>
      <c r="D997" s="62"/>
      <c r="E997" s="63"/>
      <c r="F997" s="63"/>
    </row>
    <row r="998">
      <c r="A998" s="60"/>
      <c r="B998" s="60"/>
      <c r="C998" s="60"/>
      <c r="D998" s="60"/>
      <c r="E998" s="61"/>
      <c r="F998" s="61"/>
    </row>
    <row r="999">
      <c r="A999" s="62"/>
      <c r="B999" s="62"/>
      <c r="C999" s="62"/>
      <c r="D999" s="62"/>
      <c r="E999" s="63"/>
      <c r="F999" s="63"/>
    </row>
    <row r="1000">
      <c r="A1000" s="60"/>
      <c r="B1000" s="60"/>
      <c r="C1000" s="60"/>
      <c r="D1000" s="60"/>
      <c r="E1000" s="61"/>
      <c r="F1000" s="61"/>
    </row>
    <row r="1001">
      <c r="A1001" s="62"/>
      <c r="B1001" s="62"/>
      <c r="C1001" s="62"/>
      <c r="D1001" s="62"/>
      <c r="E1001" s="63"/>
      <c r="F1001" s="63"/>
    </row>
    <row r="1002">
      <c r="A1002" s="60"/>
      <c r="B1002" s="60"/>
      <c r="C1002" s="60"/>
      <c r="D1002" s="60"/>
      <c r="E1002" s="61"/>
      <c r="F1002" s="61"/>
    </row>
    <row r="1003">
      <c r="A1003" s="62"/>
      <c r="B1003" s="62"/>
      <c r="C1003" s="62"/>
      <c r="D1003" s="62"/>
      <c r="E1003" s="63"/>
      <c r="F1003" s="63"/>
    </row>
    <row r="1004">
      <c r="A1004" s="60"/>
      <c r="B1004" s="60"/>
      <c r="C1004" s="60"/>
      <c r="D1004" s="60"/>
      <c r="E1004" s="61"/>
      <c r="F1004" s="61"/>
    </row>
    <row r="1005">
      <c r="A1005" s="62"/>
      <c r="B1005" s="62"/>
      <c r="C1005" s="62"/>
      <c r="D1005" s="62"/>
      <c r="E1005" s="63"/>
      <c r="F1005" s="63"/>
    </row>
    <row r="1006">
      <c r="A1006" s="60"/>
      <c r="B1006" s="60"/>
      <c r="C1006" s="60"/>
      <c r="D1006" s="60"/>
      <c r="E1006" s="61"/>
      <c r="F1006" s="61"/>
    </row>
    <row r="1007">
      <c r="A1007" s="62"/>
      <c r="B1007" s="62"/>
      <c r="C1007" s="62"/>
      <c r="D1007" s="62"/>
      <c r="E1007" s="63"/>
      <c r="F1007" s="63"/>
    </row>
    <row r="1008">
      <c r="A1008" s="60"/>
      <c r="B1008" s="60"/>
      <c r="C1008" s="60"/>
      <c r="D1008" s="60"/>
      <c r="E1008" s="61"/>
      <c r="F1008" s="61"/>
    </row>
    <row r="1009">
      <c r="A1009" s="62"/>
      <c r="B1009" s="62"/>
      <c r="C1009" s="62"/>
      <c r="D1009" s="62"/>
      <c r="E1009" s="63"/>
      <c r="F1009" s="63"/>
    </row>
    <row r="1010">
      <c r="A1010" s="60"/>
      <c r="B1010" s="60"/>
      <c r="C1010" s="60"/>
      <c r="D1010" s="60"/>
      <c r="E1010" s="61"/>
      <c r="F1010" s="61"/>
    </row>
    <row r="1011">
      <c r="A1011" s="62"/>
      <c r="B1011" s="62"/>
      <c r="C1011" s="62"/>
      <c r="D1011" s="62"/>
      <c r="E1011" s="63"/>
      <c r="F1011" s="63"/>
    </row>
    <row r="1012">
      <c r="A1012" s="60"/>
      <c r="B1012" s="60"/>
      <c r="C1012" s="60"/>
      <c r="D1012" s="60"/>
      <c r="E1012" s="61"/>
      <c r="F1012" s="61"/>
    </row>
    <row r="1013">
      <c r="A1013" s="62"/>
      <c r="B1013" s="62"/>
      <c r="C1013" s="62"/>
      <c r="D1013" s="62"/>
      <c r="E1013" s="63"/>
      <c r="F1013" s="63"/>
    </row>
    <row r="1014">
      <c r="A1014" s="60"/>
      <c r="B1014" s="60"/>
      <c r="C1014" s="60"/>
      <c r="D1014" s="60"/>
      <c r="E1014" s="61"/>
      <c r="F1014" s="61"/>
    </row>
    <row r="1015">
      <c r="A1015" s="62"/>
      <c r="B1015" s="62"/>
      <c r="C1015" s="62"/>
      <c r="D1015" s="62"/>
      <c r="E1015" s="63"/>
      <c r="F1015" s="63"/>
    </row>
    <row r="1016">
      <c r="A1016" s="60"/>
      <c r="B1016" s="60"/>
      <c r="C1016" s="60"/>
      <c r="D1016" s="60"/>
      <c r="E1016" s="61"/>
      <c r="F1016" s="61"/>
    </row>
    <row r="1017">
      <c r="A1017" s="62"/>
      <c r="B1017" s="62"/>
      <c r="C1017" s="62"/>
      <c r="D1017" s="62"/>
      <c r="E1017" s="63"/>
      <c r="F1017" s="63"/>
    </row>
    <row r="1018">
      <c r="A1018" s="60"/>
      <c r="B1018" s="60"/>
      <c r="C1018" s="60"/>
      <c r="D1018" s="60"/>
      <c r="E1018" s="61"/>
      <c r="F1018" s="61"/>
    </row>
    <row r="1019">
      <c r="A1019" s="62"/>
      <c r="B1019" s="62"/>
      <c r="C1019" s="62"/>
      <c r="D1019" s="62"/>
      <c r="E1019" s="63"/>
      <c r="F1019" s="63"/>
    </row>
    <row r="1020">
      <c r="A1020" s="60"/>
      <c r="B1020" s="60"/>
      <c r="C1020" s="60"/>
      <c r="D1020" s="60"/>
      <c r="E1020" s="61"/>
      <c r="F1020" s="61"/>
    </row>
    <row r="1021">
      <c r="A1021" s="62"/>
      <c r="B1021" s="62"/>
      <c r="C1021" s="62"/>
      <c r="D1021" s="62"/>
      <c r="E1021" s="63"/>
      <c r="F1021" s="63"/>
    </row>
    <row r="1022">
      <c r="A1022" s="60"/>
      <c r="B1022" s="60"/>
      <c r="C1022" s="60"/>
      <c r="D1022" s="60"/>
      <c r="E1022" s="61"/>
      <c r="F1022" s="61"/>
    </row>
    <row r="1023">
      <c r="A1023" s="62"/>
      <c r="B1023" s="62"/>
      <c r="C1023" s="62"/>
      <c r="D1023" s="62"/>
      <c r="E1023" s="63"/>
      <c r="F1023" s="63"/>
    </row>
    <row r="1024">
      <c r="A1024" s="60"/>
      <c r="B1024" s="60"/>
      <c r="C1024" s="60"/>
      <c r="D1024" s="60"/>
      <c r="E1024" s="61"/>
      <c r="F1024" s="61"/>
    </row>
    <row r="1025">
      <c r="A1025" s="62"/>
      <c r="B1025" s="62"/>
      <c r="C1025" s="62"/>
      <c r="D1025" s="62"/>
      <c r="E1025" s="63"/>
      <c r="F1025" s="63"/>
    </row>
    <row r="1026">
      <c r="A1026" s="60"/>
      <c r="B1026" s="60"/>
      <c r="C1026" s="60"/>
      <c r="D1026" s="60"/>
      <c r="E1026" s="61"/>
      <c r="F1026" s="61"/>
    </row>
    <row r="1027">
      <c r="A1027" s="62"/>
      <c r="B1027" s="62"/>
      <c r="C1027" s="62"/>
      <c r="D1027" s="62"/>
      <c r="E1027" s="63"/>
      <c r="F1027" s="63"/>
    </row>
    <row r="1028">
      <c r="A1028" s="60"/>
      <c r="B1028" s="60"/>
      <c r="C1028" s="60"/>
      <c r="D1028" s="60"/>
      <c r="E1028" s="61"/>
      <c r="F1028" s="61"/>
    </row>
    <row r="1029">
      <c r="A1029" s="62"/>
      <c r="B1029" s="62"/>
      <c r="C1029" s="62"/>
      <c r="D1029" s="62"/>
      <c r="E1029" s="63"/>
      <c r="F1029" s="63"/>
    </row>
    <row r="1030">
      <c r="A1030" s="60"/>
      <c r="B1030" s="60"/>
      <c r="C1030" s="60"/>
      <c r="D1030" s="60"/>
      <c r="E1030" s="61"/>
      <c r="F1030" s="61"/>
    </row>
    <row r="1031">
      <c r="A1031" s="62"/>
      <c r="B1031" s="62"/>
      <c r="C1031" s="62"/>
      <c r="D1031" s="62"/>
      <c r="E1031" s="63"/>
      <c r="F1031" s="63"/>
    </row>
    <row r="1032">
      <c r="A1032" s="60"/>
      <c r="B1032" s="60"/>
      <c r="C1032" s="60"/>
      <c r="D1032" s="60"/>
      <c r="E1032" s="61"/>
      <c r="F1032" s="61"/>
    </row>
    <row r="1033">
      <c r="A1033" s="62"/>
      <c r="B1033" s="62"/>
      <c r="C1033" s="62"/>
      <c r="D1033" s="62"/>
      <c r="E1033" s="63"/>
      <c r="F1033" s="63"/>
    </row>
    <row r="1034">
      <c r="A1034" s="60"/>
      <c r="B1034" s="60"/>
      <c r="C1034" s="60"/>
      <c r="D1034" s="60"/>
      <c r="E1034" s="61"/>
      <c r="F1034" s="61"/>
    </row>
    <row r="1035">
      <c r="A1035" s="62"/>
      <c r="B1035" s="62"/>
      <c r="C1035" s="62"/>
      <c r="D1035" s="62"/>
      <c r="E1035" s="63"/>
      <c r="F1035" s="63"/>
    </row>
    <row r="1036">
      <c r="A1036" s="64"/>
      <c r="B1036" s="64"/>
      <c r="C1036" s="64"/>
      <c r="D1036" s="64"/>
      <c r="E1036" s="61"/>
      <c r="F1036" s="61"/>
    </row>
  </sheetData>
  <autoFilter ref="$AA$1:$AA$999">
    <sortState ref="AA1:AA999">
      <sortCondition ref="AA1:AA999"/>
    </sortState>
  </autoFilter>
  <hyperlinks>
    <hyperlink r:id="rId2" ref="D54"/>
    <hyperlink r:id="rId3" ref="D423"/>
    <hyperlink r:id="rId4" ref="D502"/>
    <hyperlink r:id="rId5" ref="D634"/>
  </hyperlinks>
  <drawing r:id="rId6"/>
  <legacyDrawing r:id="rId7"/>
</worksheet>
</file>